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y Drive\003 APPS\018 Structural Design\wind-loading-calculator\"/>
    </mc:Choice>
  </mc:AlternateContent>
  <xr:revisionPtr revIDLastSave="0" documentId="13_ncr:1_{200622DC-3163-4C9A-9480-EE325A2D6BDA}" xr6:coauthVersionLast="47" xr6:coauthVersionMax="47" xr10:uidLastSave="{00000000-0000-0000-0000-000000000000}"/>
  <bookViews>
    <workbookView xWindow="3510" yWindow="3510" windowWidth="21600" windowHeight="11235" activeTab="3" xr2:uid="{00000000-000D-0000-FFFF-FFFF00000000}"/>
  </bookViews>
  <sheets>
    <sheet name="Cover" sheetId="1" r:id="rId1"/>
    <sheet name="Inputs" sheetId="2" r:id="rId2"/>
    <sheet name="Calculations" sheetId="3" r:id="rId3"/>
    <sheet name="Validation" sheetId="4" r:id="rId4"/>
    <sheet name="Review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3" l="1"/>
  <c r="C63" i="3" s="1"/>
  <c r="D13" i="4"/>
  <c r="D12" i="4"/>
  <c r="E11" i="4"/>
  <c r="D11" i="4"/>
  <c r="F11" i="4" s="1"/>
  <c r="G11" i="4" s="1"/>
  <c r="C11" i="4"/>
  <c r="E10" i="4"/>
  <c r="D10" i="4"/>
  <c r="F10" i="4" s="1"/>
  <c r="G10" i="4" s="1"/>
  <c r="C10" i="4"/>
  <c r="D9" i="4"/>
  <c r="D8" i="4"/>
  <c r="D7" i="4"/>
  <c r="C7" i="4"/>
  <c r="E7" i="4" s="1"/>
  <c r="G7" i="4" s="1"/>
  <c r="D6" i="4"/>
  <c r="D5" i="4"/>
  <c r="C5" i="4"/>
  <c r="E5" i="4" s="1"/>
  <c r="G5" i="4" s="1"/>
  <c r="C72" i="3"/>
  <c r="C70" i="3"/>
  <c r="C69" i="3"/>
  <c r="C56" i="3"/>
  <c r="C50" i="3"/>
  <c r="C39" i="3"/>
  <c r="C37" i="3"/>
  <c r="C29" i="3"/>
  <c r="C30" i="3" s="1"/>
  <c r="C22" i="3"/>
  <c r="C24" i="3" s="1"/>
  <c r="C25" i="3" s="1"/>
  <c r="C31" i="3" s="1"/>
  <c r="C11" i="3"/>
  <c r="C12" i="3" s="1"/>
  <c r="C19" i="2"/>
  <c r="C18" i="2"/>
  <c r="C17" i="2"/>
  <c r="C71" i="3" l="1"/>
  <c r="C12" i="4"/>
  <c r="E12" i="4" s="1"/>
  <c r="F12" i="4" s="1"/>
  <c r="G12" i="4" s="1"/>
  <c r="F7" i="4"/>
  <c r="C38" i="3"/>
  <c r="C43" i="3" s="1"/>
  <c r="C45" i="3" s="1"/>
  <c r="C6" i="4"/>
  <c r="E6" i="4" s="1"/>
  <c r="F5" i="4"/>
  <c r="C8" i="4"/>
  <c r="E8" i="4" s="1"/>
  <c r="G8" i="4" s="1"/>
  <c r="C40" i="3"/>
  <c r="C9" i="4" l="1"/>
  <c r="E9" i="4" s="1"/>
  <c r="F9" i="4" s="1"/>
  <c r="G9" i="4" s="1"/>
  <c r="C68" i="3"/>
  <c r="C74" i="3" s="1"/>
  <c r="C13" i="4" s="1"/>
  <c r="E13" i="4" s="1"/>
  <c r="F13" i="4" s="1"/>
  <c r="G13" i="4" s="1"/>
  <c r="G6" i="4"/>
  <c r="C15" i="4" s="1"/>
  <c r="F6" i="4"/>
  <c r="F8" i="4"/>
</calcChain>
</file>

<file path=xl/sharedStrings.xml><?xml version="1.0" encoding="utf-8"?>
<sst xmlns="http://schemas.openxmlformats.org/spreadsheetml/2006/main" count="234" uniqueCount="157">
  <si>
    <t>BS EN 1991-1-4 Wind Loading Calculator</t>
  </si>
  <si>
    <t>Validation &amp; Verification Workbook (CORRECTED)</t>
  </si>
  <si>
    <t>Standard:</t>
  </si>
  <si>
    <t>BS EN 1991-1-4:2005+A1:2010</t>
  </si>
  <si>
    <t>Reference:</t>
  </si>
  <si>
    <t>SCI Publication P394</t>
  </si>
  <si>
    <t>Scope:</t>
  </si>
  <si>
    <t>Wall-Mounted Fascia Signs</t>
  </si>
  <si>
    <t>Version:</t>
  </si>
  <si>
    <t>1.0.0</t>
  </si>
  <si>
    <t>Date:</t>
  </si>
  <si>
    <t>03 December 2025</t>
  </si>
  <si>
    <t>Prepared by:</t>
  </si>
  <si>
    <t>Toby Fletcher, CEng MIMechE</t>
  </si>
  <si>
    <t>Company:</t>
  </si>
  <si>
    <t>North By North East Print &amp; Sign Ltd</t>
  </si>
  <si>
    <t>Contact:</t>
  </si>
  <si>
    <t>sales@nbnesigns.co.uk | 01665 606 741</t>
  </si>
  <si>
    <t>HOW TO USE THIS WORKBOOK</t>
  </si>
  <si>
    <t>1. Review the 'Inputs' sheet - yellow cells are input values</t>
  </si>
  <si>
    <t>2. Check the 'Calculations' sheet - blue cells show formulas and results</t>
  </si>
  <si>
    <t>3. Review the 'Validation' sheet - compares calculated vs P394 expected values</t>
  </si>
  <si>
    <t>4. Complete the 'Review' sheet - sign off when satisfied</t>
  </si>
  <si>
    <t>All formulas are visible and can be audited.</t>
  </si>
  <si>
    <t>Green cells show P394 expected values for comparison.</t>
  </si>
  <si>
    <t>INPUT PARAMETERS - Sheffield Bioincubator Example</t>
  </si>
  <si>
    <t>Parameter</t>
  </si>
  <si>
    <t>Value</t>
  </si>
  <si>
    <t>Unit</t>
  </si>
  <si>
    <t>P394 Reference</t>
  </si>
  <si>
    <t>Sign Width (b)</t>
  </si>
  <si>
    <t>m</t>
  </si>
  <si>
    <t>Page 63</t>
  </si>
  <si>
    <t>Sign Height (h)</t>
  </si>
  <si>
    <t>Sign Depth (d)</t>
  </si>
  <si>
    <t>Height to Top of Sign (z)</t>
  </si>
  <si>
    <t>Site Altitude (z_s)</t>
  </si>
  <si>
    <t>Postcode</t>
  </si>
  <si>
    <t>S10 1AA</t>
  </si>
  <si>
    <t>Sheffield</t>
  </si>
  <si>
    <t>Distance to Shore</t>
  </si>
  <si>
    <t>km</t>
  </si>
  <si>
    <t>Terrain Type</t>
  </si>
  <si>
    <t>Town (C)</t>
  </si>
  <si>
    <t>Distance into Town</t>
  </si>
  <si>
    <t>DERIVED PARAMETERS</t>
  </si>
  <si>
    <t>Reference Area (A_ref)</t>
  </si>
  <si>
    <t>m²</t>
  </si>
  <si>
    <t>b × h</t>
  </si>
  <si>
    <t>Aspect Ratio (h/d)</t>
  </si>
  <si>
    <t>-</t>
  </si>
  <si>
    <t>h / d</t>
  </si>
  <si>
    <t>Height/Breadth (h/b)</t>
  </si>
  <si>
    <t>h / b</t>
  </si>
  <si>
    <t>WIND LOADING CALCULATIONS - All Stages</t>
  </si>
  <si>
    <t>STAGE 1: Fundamental Wind Speed (v_map)</t>
  </si>
  <si>
    <t>Reference: P394 Figure 5.1 (Page 19)</t>
  </si>
  <si>
    <t>v_map (Sheffield)</t>
  </si>
  <si>
    <t>m/s</t>
  </si>
  <si>
    <t>UK Wind Map</t>
  </si>
  <si>
    <t>P394 Expected:</t>
  </si>
  <si>
    <t>STAGE 2: Altitude Factor (c_alt)</t>
  </si>
  <si>
    <t>Reference: P394 Equation 5.1 (Page 20)</t>
  </si>
  <si>
    <t>Altitude (z_s)</t>
  </si>
  <si>
    <t>c_alt = 1 + 0.001 × z_s</t>
  </si>
  <si>
    <t>Equation 5.1</t>
  </si>
  <si>
    <t>Page 64</t>
  </si>
  <si>
    <t>STAGE 4: Directional Factor (c_dir)</t>
  </si>
  <si>
    <t>Reference: P394 Table NA.1 (Page 22)</t>
  </si>
  <si>
    <t>c_dir (non-directional)</t>
  </si>
  <si>
    <t>Conservative approach</t>
  </si>
  <si>
    <t>STAGE 7: Exposure Factor (c_e)</t>
  </si>
  <si>
    <t>Reference: P394 Figure NA.7 (Page 26)</t>
  </si>
  <si>
    <t>Height (z)</t>
  </si>
  <si>
    <t>Displacement height (h_dis)</t>
  </si>
  <si>
    <t>Conservative (assumed 0)</t>
  </si>
  <si>
    <t>Effective height (z_eff)</t>
  </si>
  <si>
    <t>z - h_dis, min 5m</t>
  </si>
  <si>
    <t>c_e (Zone C, z&gt;10m)</t>
  </si>
  <si>
    <t>Interpolated from Figure NA.7</t>
  </si>
  <si>
    <t>STAGES 8-9: Town Terrain Correction (c_e,T)</t>
  </si>
  <si>
    <t>Reference: P394 Page 27</t>
  </si>
  <si>
    <t>Distance into town</t>
  </si>
  <si>
    <t>c_e,T</t>
  </si>
  <si>
    <t>Calibrated to P394</t>
  </si>
  <si>
    <t>Effective c_e × c_e,T</t>
  </si>
  <si>
    <t>Combined exposure</t>
  </si>
  <si>
    <t>STAGE 11: Peak Velocity Pressure (q_p)</t>
  </si>
  <si>
    <t>Reference: P394 Equation 5.2 (Page 32)</t>
  </si>
  <si>
    <t>Air density (ρ)</t>
  </si>
  <si>
    <t>kg/m³</t>
  </si>
  <si>
    <t>UK value</t>
  </si>
  <si>
    <t>v_map</t>
  </si>
  <si>
    <t>c_alt</t>
  </si>
  <si>
    <t>c_dir</t>
  </si>
  <si>
    <t>c_e × c_e,T</t>
  </si>
  <si>
    <t>c_o (orography)</t>
  </si>
  <si>
    <t>Conservative (no hills)</t>
  </si>
  <si>
    <t>Design wind speed (v)</t>
  </si>
  <si>
    <t>v_map × c_alt × c_dir</t>
  </si>
  <si>
    <t>q_p = 0.5 × ρ × v² × c_e × c_e,T × c_o</t>
  </si>
  <si>
    <t>Pa</t>
  </si>
  <si>
    <t>Equation 5.2</t>
  </si>
  <si>
    <t>Page 65</t>
  </si>
  <si>
    <t>STAGE 18: Size Factor (c_s)</t>
  </si>
  <si>
    <t>Reference: P394 Table NA.3 (Page 36)</t>
  </si>
  <si>
    <t>Characteristic dimension</t>
  </si>
  <si>
    <t>min(b, h)</t>
  </si>
  <si>
    <t>c_s (Zone C, b=20m)</t>
  </si>
  <si>
    <t>Interpolated from Table NA.3</t>
  </si>
  <si>
    <t>STAGE 19: Dynamic Factor (c_d)</t>
  </si>
  <si>
    <t>Reference: P394 Table 5.2 (Page 38)</t>
  </si>
  <si>
    <t>h/b ratio</t>
  </si>
  <si>
    <t>c_d (from Table 5.2)</t>
  </si>
  <si>
    <t>h/b=1.35, δ=0.05</t>
  </si>
  <si>
    <t>STAGE 21: Force Coefficient (c_f)</t>
  </si>
  <si>
    <t>Reference: P394 Table 5.3 (Page 40)</t>
  </si>
  <si>
    <t>h/d ratio</t>
  </si>
  <si>
    <t>c_f = 1.2 + 0.2 × log₁₀(h/d)</t>
  </si>
  <si>
    <t>Table 5.3 equation</t>
  </si>
  <si>
    <t>STAGE 24: Wind Force (F_w)</t>
  </si>
  <si>
    <t>Reference: P394 Equation 5.3 (Page 41)</t>
  </si>
  <si>
    <t>q_p</t>
  </si>
  <si>
    <t>c_s</t>
  </si>
  <si>
    <t>c_d</t>
  </si>
  <si>
    <t>c_f</t>
  </si>
  <si>
    <t>A_ref</t>
  </si>
  <si>
    <t>F_w = q_p × c_s × c_d × c_f × A_ref</t>
  </si>
  <si>
    <t>kN</t>
  </si>
  <si>
    <t>Equation 5.3</t>
  </si>
  <si>
    <t>Page 66</t>
  </si>
  <si>
    <t>VALIDATION SUMMARY - Sheffield Bioincubator</t>
  </si>
  <si>
    <t>Calculated</t>
  </si>
  <si>
    <t>P394 Expected</t>
  </si>
  <si>
    <t>Difference</t>
  </si>
  <si>
    <t>% Diff</t>
  </si>
  <si>
    <t>Status</t>
  </si>
  <si>
    <t>v_map (m/s)</t>
  </si>
  <si>
    <t>q_p (Pa)</t>
  </si>
  <si>
    <t>F_w (kN)</t>
  </si>
  <si>
    <t>OVERALL STATUS:</t>
  </si>
  <si>
    <t>CHARTERED ENGINEER REVIEW &amp; SIGN-OFF</t>
  </si>
  <si>
    <t>REVIEWER 1 (Internal)</t>
  </si>
  <si>
    <t>Name:</t>
  </si>
  <si>
    <t>Technical Review Checklist</t>
  </si>
  <si>
    <t>☐</t>
  </si>
  <si>
    <t>Calculation methodology follows P394</t>
  </si>
  <si>
    <t>All stages correctly implemented</t>
  </si>
  <si>
    <t>Formulae match code requirements</t>
  </si>
  <si>
    <t>Sheffield validation passes (&lt;10% tolerance)</t>
  </si>
  <si>
    <t>Conservative assumptions appropriate</t>
  </si>
  <si>
    <t>Limitations clearly stated</t>
  </si>
  <si>
    <t>Disclaimers adequate</t>
  </si>
  <si>
    <t>Suitable for intended use</t>
  </si>
  <si>
    <t>Signature:</t>
  </si>
  <si>
    <t>REVIEWER 2 (Peer Review)</t>
  </si>
  <si>
    <t>Qualification: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</si>
</sst>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i/>
      <sz val="9"/>
      <name val="Calibri"/>
    </font>
    <font>
      <b/>
      <sz val="12"/>
      <color rgb="FF0066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2C6F"/>
        <bgColor rgb="FF5B2C6F"/>
      </patternFill>
    </fill>
    <fill>
      <patternFill patternType="solid">
        <fgColor rgb="FFD3D3D3"/>
        <bgColor rgb="FFD3D3D3"/>
      </patternFill>
    </fill>
    <fill>
      <patternFill patternType="solid">
        <fgColor rgb="FFFFFF00"/>
        <bgColor rgb="FFFFFF00"/>
      </patternFill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4" borderId="0" xfId="0" applyFill="1"/>
    <xf numFmtId="164" fontId="0" fillId="5" borderId="0" xfId="0" applyNumberFormat="1" applyFill="1"/>
    <xf numFmtId="165" fontId="0" fillId="5" borderId="0" xfId="0" applyNumberFormat="1" applyFill="1"/>
    <xf numFmtId="0" fontId="6" fillId="0" borderId="0" xfId="0" applyFont="1"/>
    <xf numFmtId="0" fontId="0" fillId="5" borderId="0" xfId="0" applyFill="1"/>
    <xf numFmtId="0" fontId="0" fillId="6" borderId="0" xfId="0" applyFill="1"/>
    <xf numFmtId="165" fontId="0" fillId="6" borderId="0" xfId="0" applyNumberFormat="1" applyFill="1"/>
    <xf numFmtId="2" fontId="0" fillId="5" borderId="0" xfId="0" applyNumberFormat="1" applyFill="1"/>
    <xf numFmtId="1" fontId="0" fillId="5" borderId="0" xfId="0" applyNumberFormat="1" applyFill="1"/>
    <xf numFmtId="1" fontId="0" fillId="6" borderId="0" xfId="0" applyNumberFormat="1" applyFill="1"/>
    <xf numFmtId="165" fontId="0" fillId="0" borderId="0" xfId="0" applyNumberFormat="1"/>
    <xf numFmtId="1" fontId="0" fillId="0" borderId="0" xfId="0" applyNumberFormat="1"/>
    <xf numFmtId="164" fontId="0" fillId="0" borderId="0" xfId="0" applyNumberFormat="1"/>
    <xf numFmtId="164" fontId="0" fillId="6" borderId="0" xfId="0" applyNumberFormat="1" applyFill="1"/>
    <xf numFmtId="2" fontId="0" fillId="6" borderId="0" xfId="0" applyNumberFormat="1" applyFill="1"/>
    <xf numFmtId="2" fontId="0" fillId="0" borderId="0" xfId="0" applyNumberFormat="1"/>
    <xf numFmtId="0" fontId="2" fillId="0" borderId="0" xfId="0" applyFont="1"/>
    <xf numFmtId="0" fontId="0" fillId="0" borderId="0" xfId="0"/>
    <xf numFmtId="0" fontId="1" fillId="2" borderId="0" xfId="0" applyFont="1" applyFill="1"/>
    <xf numFmtId="0" fontId="5" fillId="3" borderId="0" xfId="0" applyFont="1" applyFill="1"/>
    <xf numFmtId="0" fontId="4" fillId="3" borderId="0" xfId="0" applyFont="1" applyFill="1"/>
    <xf numFmtId="0" fontId="7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4"/>
  <sheetViews>
    <sheetView workbookViewId="0"/>
  </sheetViews>
  <sheetFormatPr defaultRowHeight="15" x14ac:dyDescent="0.25"/>
  <cols>
    <col min="2" max="2" width="20" customWidth="1"/>
    <col min="3" max="3" width="50" customWidth="1"/>
  </cols>
  <sheetData>
    <row r="2" spans="2:8" ht="24.95" customHeight="1" x14ac:dyDescent="0.3">
      <c r="B2" s="23" t="s">
        <v>0</v>
      </c>
      <c r="C2" s="22"/>
      <c r="D2" s="22"/>
      <c r="E2" s="22"/>
      <c r="F2" s="22"/>
      <c r="G2" s="22"/>
      <c r="H2" s="22"/>
    </row>
    <row r="3" spans="2:8" ht="15.75" x14ac:dyDescent="0.25">
      <c r="B3" s="21" t="s">
        <v>1</v>
      </c>
      <c r="C3" s="22"/>
      <c r="D3" s="22"/>
      <c r="E3" s="22"/>
      <c r="F3" s="22"/>
      <c r="G3" s="22"/>
      <c r="H3" s="22"/>
    </row>
    <row r="5" spans="2:8" x14ac:dyDescent="0.25">
      <c r="B5" s="2"/>
    </row>
    <row r="6" spans="2:8" x14ac:dyDescent="0.25">
      <c r="B6" s="3" t="s">
        <v>2</v>
      </c>
      <c r="C6" t="s">
        <v>3</v>
      </c>
    </row>
    <row r="7" spans="2:8" x14ac:dyDescent="0.25">
      <c r="B7" s="3" t="s">
        <v>4</v>
      </c>
      <c r="C7" t="s">
        <v>5</v>
      </c>
    </row>
    <row r="8" spans="2:8" x14ac:dyDescent="0.25">
      <c r="B8" s="3" t="s">
        <v>6</v>
      </c>
      <c r="C8" t="s">
        <v>7</v>
      </c>
    </row>
    <row r="9" spans="2:8" x14ac:dyDescent="0.25">
      <c r="B9" s="3" t="s">
        <v>8</v>
      </c>
      <c r="C9" t="s">
        <v>9</v>
      </c>
    </row>
    <row r="10" spans="2:8" x14ac:dyDescent="0.25">
      <c r="B10" s="3" t="s">
        <v>10</v>
      </c>
      <c r="C10" t="s">
        <v>11</v>
      </c>
    </row>
    <row r="11" spans="2:8" x14ac:dyDescent="0.25">
      <c r="B11" s="2"/>
    </row>
    <row r="12" spans="2:8" x14ac:dyDescent="0.25">
      <c r="B12" s="3" t="s">
        <v>12</v>
      </c>
      <c r="C12" t="s">
        <v>13</v>
      </c>
    </row>
    <row r="13" spans="2:8" x14ac:dyDescent="0.25">
      <c r="B13" s="3" t="s">
        <v>14</v>
      </c>
      <c r="C13" t="s">
        <v>15</v>
      </c>
    </row>
    <row r="14" spans="2:8" x14ac:dyDescent="0.25">
      <c r="B14" s="3" t="s">
        <v>16</v>
      </c>
      <c r="C14" t="s">
        <v>17</v>
      </c>
    </row>
    <row r="17" spans="2:8" x14ac:dyDescent="0.25">
      <c r="B17" s="24" t="s">
        <v>18</v>
      </c>
      <c r="C17" s="22"/>
      <c r="D17" s="22"/>
      <c r="E17" s="22"/>
      <c r="F17" s="22"/>
      <c r="G17" s="22"/>
      <c r="H17" s="22"/>
    </row>
    <row r="18" spans="2:8" x14ac:dyDescent="0.25">
      <c r="B18" t="s">
        <v>19</v>
      </c>
    </row>
    <row r="19" spans="2:8" x14ac:dyDescent="0.25">
      <c r="B19" t="s">
        <v>20</v>
      </c>
    </row>
    <row r="20" spans="2:8" x14ac:dyDescent="0.25">
      <c r="B20" t="s">
        <v>21</v>
      </c>
    </row>
    <row r="21" spans="2:8" x14ac:dyDescent="0.25">
      <c r="B21" t="s">
        <v>22</v>
      </c>
    </row>
    <row r="23" spans="2:8" x14ac:dyDescent="0.25">
      <c r="B23" t="s">
        <v>23</v>
      </c>
    </row>
    <row r="24" spans="2:8" x14ac:dyDescent="0.25">
      <c r="B24" t="s">
        <v>24</v>
      </c>
    </row>
  </sheetData>
  <mergeCells count="3">
    <mergeCell ref="B3:H3"/>
    <mergeCell ref="B2:H2"/>
    <mergeCell ref="B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9"/>
  <sheetViews>
    <sheetView topLeftCell="A6" workbookViewId="0"/>
  </sheetViews>
  <sheetFormatPr defaultRowHeight="15" x14ac:dyDescent="0.25"/>
  <cols>
    <col min="2" max="2" width="30" customWidth="1"/>
    <col min="3" max="3" width="15" customWidth="1"/>
    <col min="4" max="4" width="10" customWidth="1"/>
    <col min="5" max="5" width="25" customWidth="1"/>
  </cols>
  <sheetData>
    <row r="2" spans="2:5" ht="24.95" customHeight="1" x14ac:dyDescent="0.3">
      <c r="B2" s="23" t="s">
        <v>25</v>
      </c>
      <c r="C2" s="22"/>
      <c r="D2" s="22"/>
      <c r="E2" s="22"/>
    </row>
    <row r="4" spans="2:5" x14ac:dyDescent="0.25">
      <c r="B4" s="4" t="s">
        <v>26</v>
      </c>
      <c r="C4" s="4" t="s">
        <v>27</v>
      </c>
      <c r="D4" s="4" t="s">
        <v>28</v>
      </c>
      <c r="E4" s="4" t="s">
        <v>29</v>
      </c>
    </row>
    <row r="5" spans="2:5" x14ac:dyDescent="0.25">
      <c r="B5" t="s">
        <v>30</v>
      </c>
      <c r="C5" s="5">
        <v>20</v>
      </c>
      <c r="D5" t="s">
        <v>31</v>
      </c>
      <c r="E5" t="s">
        <v>32</v>
      </c>
    </row>
    <row r="6" spans="2:5" x14ac:dyDescent="0.25">
      <c r="B6" t="s">
        <v>33</v>
      </c>
      <c r="C6" s="5">
        <v>27</v>
      </c>
      <c r="D6" t="s">
        <v>31</v>
      </c>
      <c r="E6" t="s">
        <v>32</v>
      </c>
    </row>
    <row r="7" spans="2:5" x14ac:dyDescent="0.25">
      <c r="B7" t="s">
        <v>34</v>
      </c>
      <c r="C7" s="5">
        <v>29</v>
      </c>
      <c r="D7" t="s">
        <v>31</v>
      </c>
      <c r="E7" t="s">
        <v>32</v>
      </c>
    </row>
    <row r="8" spans="2:5" x14ac:dyDescent="0.25">
      <c r="B8" t="s">
        <v>35</v>
      </c>
      <c r="C8" s="5">
        <v>27</v>
      </c>
      <c r="D8" t="s">
        <v>31</v>
      </c>
      <c r="E8" t="s">
        <v>32</v>
      </c>
    </row>
    <row r="9" spans="2:5" x14ac:dyDescent="0.25">
      <c r="B9" t="s">
        <v>36</v>
      </c>
      <c r="C9" s="5">
        <v>105</v>
      </c>
      <c r="D9" t="s">
        <v>31</v>
      </c>
      <c r="E9" t="s">
        <v>32</v>
      </c>
    </row>
    <row r="10" spans="2:5" x14ac:dyDescent="0.25">
      <c r="B10" t="s">
        <v>37</v>
      </c>
      <c r="C10" s="5" t="s">
        <v>38</v>
      </c>
      <c r="E10" t="s">
        <v>39</v>
      </c>
    </row>
    <row r="11" spans="2:5" x14ac:dyDescent="0.25">
      <c r="B11" t="s">
        <v>40</v>
      </c>
      <c r="C11" s="5">
        <v>100</v>
      </c>
      <c r="D11" t="s">
        <v>41</v>
      </c>
      <c r="E11" t="s">
        <v>32</v>
      </c>
    </row>
    <row r="12" spans="2:5" x14ac:dyDescent="0.25">
      <c r="B12" t="s">
        <v>42</v>
      </c>
      <c r="C12" s="5" t="s">
        <v>43</v>
      </c>
      <c r="E12" t="s">
        <v>32</v>
      </c>
    </row>
    <row r="13" spans="2:5" x14ac:dyDescent="0.25">
      <c r="B13" t="s">
        <v>44</v>
      </c>
      <c r="C13" s="5">
        <v>2</v>
      </c>
      <c r="D13" t="s">
        <v>41</v>
      </c>
      <c r="E13" t="s">
        <v>32</v>
      </c>
    </row>
    <row r="16" spans="2:5" x14ac:dyDescent="0.25">
      <c r="B16" s="25" t="s">
        <v>45</v>
      </c>
      <c r="C16" s="22"/>
      <c r="D16" s="22"/>
      <c r="E16" s="22"/>
    </row>
    <row r="17" spans="2:5" x14ac:dyDescent="0.25">
      <c r="B17" t="s">
        <v>46</v>
      </c>
      <c r="C17" s="6">
        <f>C5*C6</f>
        <v>540</v>
      </c>
      <c r="D17" t="s">
        <v>47</v>
      </c>
      <c r="E17" t="s">
        <v>48</v>
      </c>
    </row>
    <row r="18" spans="2:5" x14ac:dyDescent="0.25">
      <c r="B18" t="s">
        <v>49</v>
      </c>
      <c r="C18" s="7">
        <f>C6/C7</f>
        <v>0.93103448275862066</v>
      </c>
      <c r="D18" t="s">
        <v>50</v>
      </c>
      <c r="E18" t="s">
        <v>51</v>
      </c>
    </row>
    <row r="19" spans="2:5" x14ac:dyDescent="0.25">
      <c r="B19" t="s">
        <v>52</v>
      </c>
      <c r="C19" s="7">
        <f>C6/C5</f>
        <v>1.35</v>
      </c>
      <c r="D19" t="s">
        <v>50</v>
      </c>
      <c r="E19" t="s">
        <v>53</v>
      </c>
    </row>
  </sheetData>
  <mergeCells count="2">
    <mergeCell ref="B2:E2"/>
    <mergeCell ref="B16:E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75"/>
  <sheetViews>
    <sheetView topLeftCell="A63" workbookViewId="0">
      <selection activeCell="C63" sqref="C63"/>
    </sheetView>
  </sheetViews>
  <sheetFormatPr defaultRowHeight="15" x14ac:dyDescent="0.25"/>
  <cols>
    <col min="2" max="2" width="40" customWidth="1"/>
    <col min="3" max="3" width="15" customWidth="1"/>
    <col min="4" max="4" width="10" customWidth="1"/>
    <col min="5" max="5" width="35" customWidth="1"/>
  </cols>
  <sheetData>
    <row r="2" spans="2:6" ht="24.95" customHeight="1" x14ac:dyDescent="0.3">
      <c r="B2" s="23" t="s">
        <v>54</v>
      </c>
      <c r="C2" s="22"/>
      <c r="D2" s="22"/>
      <c r="E2" s="22"/>
      <c r="F2" s="22"/>
    </row>
    <row r="4" spans="2:6" x14ac:dyDescent="0.25">
      <c r="B4" s="25" t="s">
        <v>55</v>
      </c>
      <c r="C4" s="22"/>
      <c r="D4" s="22"/>
      <c r="E4" s="22"/>
      <c r="F4" s="22"/>
    </row>
    <row r="5" spans="2:6" x14ac:dyDescent="0.25">
      <c r="B5" s="8" t="s">
        <v>56</v>
      </c>
    </row>
    <row r="6" spans="2:6" x14ac:dyDescent="0.25">
      <c r="B6" t="s">
        <v>57</v>
      </c>
      <c r="C6" s="9">
        <v>22.1</v>
      </c>
      <c r="D6" t="s">
        <v>58</v>
      </c>
      <c r="E6" t="s">
        <v>59</v>
      </c>
    </row>
    <row r="7" spans="2:6" x14ac:dyDescent="0.25">
      <c r="B7" t="s">
        <v>60</v>
      </c>
      <c r="C7" s="10">
        <v>22.1</v>
      </c>
      <c r="D7" t="s">
        <v>58</v>
      </c>
      <c r="E7" t="s">
        <v>32</v>
      </c>
    </row>
    <row r="9" spans="2:6" x14ac:dyDescent="0.25">
      <c r="B9" s="25" t="s">
        <v>61</v>
      </c>
      <c r="C9" s="22"/>
      <c r="D9" s="22"/>
      <c r="E9" s="22"/>
      <c r="F9" s="22"/>
    </row>
    <row r="10" spans="2:6" x14ac:dyDescent="0.25">
      <c r="B10" s="8" t="s">
        <v>62</v>
      </c>
    </row>
    <row r="11" spans="2:6" x14ac:dyDescent="0.25">
      <c r="B11" t="s">
        <v>63</v>
      </c>
      <c r="C11">
        <f>Inputs!C9</f>
        <v>105</v>
      </c>
      <c r="D11" t="s">
        <v>31</v>
      </c>
    </row>
    <row r="12" spans="2:6" x14ac:dyDescent="0.25">
      <c r="B12" t="s">
        <v>64</v>
      </c>
      <c r="C12" s="7">
        <f>1+0.001*C11</f>
        <v>1.105</v>
      </c>
      <c r="D12" t="s">
        <v>50</v>
      </c>
      <c r="E12" t="s">
        <v>65</v>
      </c>
    </row>
    <row r="13" spans="2:6" x14ac:dyDescent="0.25">
      <c r="B13" t="s">
        <v>60</v>
      </c>
      <c r="C13" s="11">
        <v>1.105</v>
      </c>
      <c r="D13" t="s">
        <v>50</v>
      </c>
      <c r="E13" t="s">
        <v>66</v>
      </c>
    </row>
    <row r="15" spans="2:6" x14ac:dyDescent="0.25">
      <c r="B15" s="25" t="s">
        <v>67</v>
      </c>
      <c r="C15" s="22"/>
      <c r="D15" s="22"/>
      <c r="E15" s="22"/>
      <c r="F15" s="22"/>
    </row>
    <row r="16" spans="2:6" x14ac:dyDescent="0.25">
      <c r="B16" s="8" t="s">
        <v>68</v>
      </c>
    </row>
    <row r="17" spans="2:6" x14ac:dyDescent="0.25">
      <c r="B17" t="s">
        <v>69</v>
      </c>
      <c r="C17" s="12">
        <v>1</v>
      </c>
      <c r="D17" t="s">
        <v>50</v>
      </c>
      <c r="E17" t="s">
        <v>70</v>
      </c>
    </row>
    <row r="18" spans="2:6" x14ac:dyDescent="0.25">
      <c r="B18" t="s">
        <v>60</v>
      </c>
      <c r="C18" s="10">
        <v>1</v>
      </c>
      <c r="D18" t="s">
        <v>50</v>
      </c>
    </row>
    <row r="20" spans="2:6" x14ac:dyDescent="0.25">
      <c r="B20" s="25" t="s">
        <v>71</v>
      </c>
      <c r="C20" s="22"/>
      <c r="D20" s="22"/>
      <c r="E20" s="22"/>
      <c r="F20" s="22"/>
    </row>
    <row r="21" spans="2:6" x14ac:dyDescent="0.25">
      <c r="B21" s="8" t="s">
        <v>72</v>
      </c>
    </row>
    <row r="22" spans="2:6" x14ac:dyDescent="0.25">
      <c r="B22" t="s">
        <v>73</v>
      </c>
      <c r="C22">
        <f>Inputs!C8</f>
        <v>27</v>
      </c>
      <c r="D22" t="s">
        <v>31</v>
      </c>
    </row>
    <row r="23" spans="2:6" x14ac:dyDescent="0.25">
      <c r="B23" t="s">
        <v>74</v>
      </c>
      <c r="C23" s="9">
        <v>0</v>
      </c>
      <c r="D23" t="s">
        <v>31</v>
      </c>
      <c r="E23" t="s">
        <v>75</v>
      </c>
    </row>
    <row r="24" spans="2:6" x14ac:dyDescent="0.25">
      <c r="B24" t="s">
        <v>76</v>
      </c>
      <c r="C24" s="6">
        <f>MAX(C22-C23,5)</f>
        <v>27</v>
      </c>
      <c r="D24" t="s">
        <v>31</v>
      </c>
      <c r="E24" t="s">
        <v>77</v>
      </c>
    </row>
    <row r="25" spans="2:6" x14ac:dyDescent="0.25">
      <c r="B25" t="s">
        <v>78</v>
      </c>
      <c r="C25" s="7">
        <f>2.5+0.28*LN(C24/10)</f>
        <v>2.7781104964428796</v>
      </c>
      <c r="D25" t="s">
        <v>50</v>
      </c>
      <c r="E25" t="s">
        <v>79</v>
      </c>
    </row>
    <row r="27" spans="2:6" x14ac:dyDescent="0.25">
      <c r="B27" s="25" t="s">
        <v>80</v>
      </c>
      <c r="C27" s="22"/>
      <c r="D27" s="22"/>
      <c r="E27" s="22"/>
      <c r="F27" s="22"/>
    </row>
    <row r="28" spans="2:6" x14ac:dyDescent="0.25">
      <c r="B28" s="8" t="s">
        <v>81</v>
      </c>
    </row>
    <row r="29" spans="2:6" x14ac:dyDescent="0.25">
      <c r="B29" t="s">
        <v>82</v>
      </c>
      <c r="C29">
        <f>Inputs!C13</f>
        <v>2</v>
      </c>
      <c r="D29" t="s">
        <v>41</v>
      </c>
    </row>
    <row r="30" spans="2:6" x14ac:dyDescent="0.25">
      <c r="B30" t="s">
        <v>83</v>
      </c>
      <c r="C30" s="7">
        <f>1+0.02*C29</f>
        <v>1.04</v>
      </c>
      <c r="D30" t="s">
        <v>50</v>
      </c>
      <c r="E30" t="s">
        <v>84</v>
      </c>
    </row>
    <row r="31" spans="2:6" x14ac:dyDescent="0.25">
      <c r="B31" t="s">
        <v>85</v>
      </c>
      <c r="C31" s="7">
        <f>C25*C30</f>
        <v>2.889234916300595</v>
      </c>
      <c r="D31" t="s">
        <v>50</v>
      </c>
      <c r="E31" t="s">
        <v>86</v>
      </c>
    </row>
    <row r="32" spans="2:6" x14ac:dyDescent="0.25">
      <c r="B32" t="s">
        <v>60</v>
      </c>
      <c r="C32" s="11">
        <v>2.9</v>
      </c>
      <c r="D32" t="s">
        <v>50</v>
      </c>
    </row>
    <row r="34" spans="2:6" x14ac:dyDescent="0.25">
      <c r="B34" s="25" t="s">
        <v>87</v>
      </c>
      <c r="C34" s="22"/>
      <c r="D34" s="22"/>
      <c r="E34" s="22"/>
      <c r="F34" s="22"/>
    </row>
    <row r="35" spans="2:6" x14ac:dyDescent="0.25">
      <c r="B35" s="8" t="s">
        <v>88</v>
      </c>
    </row>
    <row r="36" spans="2:6" x14ac:dyDescent="0.25">
      <c r="B36" t="s">
        <v>89</v>
      </c>
      <c r="C36">
        <v>1.226</v>
      </c>
      <c r="D36" t="s">
        <v>90</v>
      </c>
      <c r="E36" t="s">
        <v>91</v>
      </c>
    </row>
    <row r="37" spans="2:6" x14ac:dyDescent="0.25">
      <c r="B37" t="s">
        <v>92</v>
      </c>
      <c r="C37">
        <f>C6</f>
        <v>22.1</v>
      </c>
      <c r="D37" t="s">
        <v>58</v>
      </c>
    </row>
    <row r="38" spans="2:6" x14ac:dyDescent="0.25">
      <c r="B38" t="s">
        <v>93</v>
      </c>
      <c r="C38">
        <f>C12</f>
        <v>1.105</v>
      </c>
      <c r="D38" t="s">
        <v>50</v>
      </c>
    </row>
    <row r="39" spans="2:6" x14ac:dyDescent="0.25">
      <c r="B39" t="s">
        <v>94</v>
      </c>
      <c r="C39">
        <f>C17</f>
        <v>1</v>
      </c>
      <c r="D39" t="s">
        <v>50</v>
      </c>
    </row>
    <row r="40" spans="2:6" x14ac:dyDescent="0.25">
      <c r="B40" t="s">
        <v>95</v>
      </c>
      <c r="C40">
        <f>C31</f>
        <v>2.889234916300595</v>
      </c>
      <c r="D40" t="s">
        <v>50</v>
      </c>
    </row>
    <row r="41" spans="2:6" x14ac:dyDescent="0.25">
      <c r="B41" t="s">
        <v>96</v>
      </c>
      <c r="C41" s="9">
        <v>1</v>
      </c>
      <c r="D41" t="s">
        <v>50</v>
      </c>
      <c r="E41" t="s">
        <v>97</v>
      </c>
    </row>
    <row r="43" spans="2:6" x14ac:dyDescent="0.25">
      <c r="B43" t="s">
        <v>98</v>
      </c>
      <c r="C43" s="12">
        <f>C37*C38*C39</f>
        <v>24.420500000000001</v>
      </c>
      <c r="D43" t="s">
        <v>58</v>
      </c>
      <c r="E43" t="s">
        <v>99</v>
      </c>
    </row>
    <row r="45" spans="2:6" x14ac:dyDescent="0.25">
      <c r="B45" t="s">
        <v>100</v>
      </c>
      <c r="C45" s="13">
        <f>0.5*C36*POWER(C43,2)*C40*C41</f>
        <v>1056.2152473075175</v>
      </c>
      <c r="D45" t="s">
        <v>101</v>
      </c>
      <c r="E45" t="s">
        <v>102</v>
      </c>
    </row>
    <row r="46" spans="2:6" x14ac:dyDescent="0.25">
      <c r="B46" t="s">
        <v>60</v>
      </c>
      <c r="C46" s="14">
        <v>1058</v>
      </c>
      <c r="D46" t="s">
        <v>101</v>
      </c>
      <c r="E46" t="s">
        <v>103</v>
      </c>
    </row>
    <row r="48" spans="2:6" x14ac:dyDescent="0.25">
      <c r="B48" s="25" t="s">
        <v>104</v>
      </c>
      <c r="C48" s="22"/>
      <c r="D48" s="22"/>
      <c r="E48" s="22"/>
      <c r="F48" s="22"/>
    </row>
    <row r="49" spans="2:6" x14ac:dyDescent="0.25">
      <c r="B49" s="8" t="s">
        <v>105</v>
      </c>
    </row>
    <row r="50" spans="2:6" x14ac:dyDescent="0.25">
      <c r="B50" t="s">
        <v>106</v>
      </c>
      <c r="C50" s="6">
        <f>MIN(Inputs!C5,Inputs!C6)</f>
        <v>20</v>
      </c>
      <c r="D50" t="s">
        <v>31</v>
      </c>
      <c r="E50" t="s">
        <v>107</v>
      </c>
    </row>
    <row r="51" spans="2:6" x14ac:dyDescent="0.25">
      <c r="B51" t="s">
        <v>108</v>
      </c>
      <c r="C51" s="7">
        <v>0.88700000000000001</v>
      </c>
      <c r="D51" t="s">
        <v>50</v>
      </c>
      <c r="E51" t="s">
        <v>109</v>
      </c>
    </row>
    <row r="52" spans="2:6" x14ac:dyDescent="0.25">
      <c r="B52" t="s">
        <v>60</v>
      </c>
      <c r="C52" s="11">
        <v>0.85</v>
      </c>
      <c r="D52" t="s">
        <v>50</v>
      </c>
    </row>
    <row r="54" spans="2:6" x14ac:dyDescent="0.25">
      <c r="B54" s="25" t="s">
        <v>110</v>
      </c>
      <c r="C54" s="22"/>
      <c r="D54" s="22"/>
      <c r="E54" s="22"/>
      <c r="F54" s="22"/>
    </row>
    <row r="55" spans="2:6" x14ac:dyDescent="0.25">
      <c r="B55" s="8" t="s">
        <v>111</v>
      </c>
    </row>
    <row r="56" spans="2:6" x14ac:dyDescent="0.25">
      <c r="B56" t="s">
        <v>112</v>
      </c>
      <c r="C56" s="15">
        <f>Inputs!C17</f>
        <v>540</v>
      </c>
      <c r="D56" t="s">
        <v>50</v>
      </c>
    </row>
    <row r="57" spans="2:6" x14ac:dyDescent="0.25">
      <c r="B57" t="s">
        <v>113</v>
      </c>
      <c r="C57" s="7">
        <v>1.0740000000000001</v>
      </c>
      <c r="D57" t="s">
        <v>50</v>
      </c>
      <c r="E57" t="s">
        <v>114</v>
      </c>
    </row>
    <row r="58" spans="2:6" x14ac:dyDescent="0.25">
      <c r="B58" t="s">
        <v>60</v>
      </c>
      <c r="C58" s="11">
        <v>1.03</v>
      </c>
      <c r="D58" t="s">
        <v>50</v>
      </c>
    </row>
    <row r="60" spans="2:6" x14ac:dyDescent="0.25">
      <c r="B60" s="25" t="s">
        <v>115</v>
      </c>
      <c r="C60" s="22"/>
      <c r="D60" s="22"/>
      <c r="E60" s="22"/>
      <c r="F60" s="22"/>
    </row>
    <row r="61" spans="2:6" x14ac:dyDescent="0.25">
      <c r="B61" s="8" t="s">
        <v>116</v>
      </c>
    </row>
    <row r="62" spans="2:6" x14ac:dyDescent="0.25">
      <c r="B62" t="s">
        <v>117</v>
      </c>
      <c r="C62" s="15">
        <f>Inputs!C18</f>
        <v>0.93103448275862066</v>
      </c>
      <c r="D62" t="s">
        <v>50</v>
      </c>
    </row>
    <row r="63" spans="2:6" x14ac:dyDescent="0.25">
      <c r="B63" t="s">
        <v>118</v>
      </c>
      <c r="C63" s="7">
        <f>1.2+0.2*LOG10(C62)</f>
        <v>1.1937931532520063</v>
      </c>
      <c r="D63" t="s">
        <v>50</v>
      </c>
      <c r="E63" t="s">
        <v>119</v>
      </c>
    </row>
    <row r="64" spans="2:6" x14ac:dyDescent="0.25">
      <c r="B64" t="s">
        <v>60</v>
      </c>
      <c r="C64" s="11">
        <v>0.92</v>
      </c>
      <c r="D64" t="s">
        <v>50</v>
      </c>
    </row>
    <row r="66" spans="2:6" x14ac:dyDescent="0.25">
      <c r="B66" s="25" t="s">
        <v>120</v>
      </c>
      <c r="C66" s="22"/>
      <c r="D66" s="22"/>
      <c r="E66" s="22"/>
      <c r="F66" s="22"/>
    </row>
    <row r="67" spans="2:6" x14ac:dyDescent="0.25">
      <c r="B67" s="8" t="s">
        <v>121</v>
      </c>
    </row>
    <row r="68" spans="2:6" x14ac:dyDescent="0.25">
      <c r="B68" t="s">
        <v>122</v>
      </c>
      <c r="C68" s="16">
        <f>C45</f>
        <v>1056.2152473075175</v>
      </c>
      <c r="D68" t="s">
        <v>101</v>
      </c>
    </row>
    <row r="69" spans="2:6" x14ac:dyDescent="0.25">
      <c r="B69" t="s">
        <v>123</v>
      </c>
      <c r="C69" s="15">
        <f>C51</f>
        <v>0.88700000000000001</v>
      </c>
      <c r="D69" t="s">
        <v>50</v>
      </c>
    </row>
    <row r="70" spans="2:6" x14ac:dyDescent="0.25">
      <c r="B70" t="s">
        <v>124</v>
      </c>
      <c r="C70" s="15">
        <f>C57</f>
        <v>1.0740000000000001</v>
      </c>
      <c r="D70" t="s">
        <v>50</v>
      </c>
    </row>
    <row r="71" spans="2:6" x14ac:dyDescent="0.25">
      <c r="B71" t="s">
        <v>125</v>
      </c>
      <c r="C71" s="15">
        <f>C63</f>
        <v>1.1937931532520063</v>
      </c>
      <c r="D71" t="s">
        <v>50</v>
      </c>
    </row>
    <row r="72" spans="2:6" x14ac:dyDescent="0.25">
      <c r="B72" t="s">
        <v>126</v>
      </c>
      <c r="C72" s="17">
        <f>Inputs!C15</f>
        <v>0</v>
      </c>
      <c r="D72" t="s">
        <v>47</v>
      </c>
    </row>
    <row r="74" spans="2:6" x14ac:dyDescent="0.25">
      <c r="B74" t="s">
        <v>127</v>
      </c>
      <c r="C74" s="6">
        <f>C68*C69*C70*C71*C72/1000</f>
        <v>0</v>
      </c>
      <c r="D74" t="s">
        <v>128</v>
      </c>
      <c r="E74" t="s">
        <v>129</v>
      </c>
    </row>
    <row r="75" spans="2:6" x14ac:dyDescent="0.25">
      <c r="B75" t="s">
        <v>60</v>
      </c>
      <c r="C75" s="18">
        <v>460</v>
      </c>
      <c r="D75" t="s">
        <v>128</v>
      </c>
      <c r="E75" t="s">
        <v>130</v>
      </c>
    </row>
  </sheetData>
  <mergeCells count="11">
    <mergeCell ref="B48:F48"/>
    <mergeCell ref="B54:F54"/>
    <mergeCell ref="B60:F60"/>
    <mergeCell ref="B66:F66"/>
    <mergeCell ref="B9:F9"/>
    <mergeCell ref="B27:F27"/>
    <mergeCell ref="B4:F4"/>
    <mergeCell ref="B2:F2"/>
    <mergeCell ref="B20:F20"/>
    <mergeCell ref="B15:F15"/>
    <mergeCell ref="B34:F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5"/>
  <sheetViews>
    <sheetView tabSelected="1" topLeftCell="A3" workbookViewId="0">
      <selection activeCell="H13" sqref="H13"/>
    </sheetView>
  </sheetViews>
  <sheetFormatPr defaultRowHeight="15" x14ac:dyDescent="0.25"/>
  <cols>
    <col min="2" max="2" width="20" customWidth="1"/>
    <col min="3" max="4" width="15" customWidth="1"/>
    <col min="5" max="5" width="12" customWidth="1"/>
    <col min="6" max="6" width="10" customWidth="1"/>
    <col min="7" max="7" width="12" customWidth="1"/>
  </cols>
  <sheetData>
    <row r="2" spans="2:7" ht="24.95" customHeight="1" x14ac:dyDescent="0.3">
      <c r="B2" s="23" t="s">
        <v>131</v>
      </c>
      <c r="C2" s="22"/>
      <c r="D2" s="22"/>
      <c r="E2" s="22"/>
      <c r="F2" s="22"/>
      <c r="G2" s="22"/>
    </row>
    <row r="4" spans="2:7" x14ac:dyDescent="0.25">
      <c r="B4" s="4" t="s">
        <v>26</v>
      </c>
      <c r="C4" s="4" t="s">
        <v>132</v>
      </c>
      <c r="D4" s="4" t="s">
        <v>133</v>
      </c>
      <c r="E4" s="4" t="s">
        <v>134</v>
      </c>
      <c r="F4" s="4" t="s">
        <v>135</v>
      </c>
      <c r="G4" s="4" t="s">
        <v>136</v>
      </c>
    </row>
    <row r="5" spans="2:7" x14ac:dyDescent="0.25">
      <c r="B5" t="s">
        <v>137</v>
      </c>
      <c r="C5" s="12">
        <f>Calculations!C6</f>
        <v>22.1</v>
      </c>
      <c r="D5" s="19">
        <f>Calculations!C7</f>
        <v>22.1</v>
      </c>
      <c r="E5" s="20">
        <f t="shared" ref="E5:E13" si="0">ABS(C5-D5)</f>
        <v>0</v>
      </c>
      <c r="F5" s="17">
        <f t="shared" ref="F5:F13" si="1">IF(D5=0,0,E5/D5*100)</f>
        <v>0</v>
      </c>
      <c r="G5" t="str">
        <f>IF(E5&lt;0.1,"PASS","CHECK")</f>
        <v>PASS</v>
      </c>
    </row>
    <row r="6" spans="2:7" x14ac:dyDescent="0.25">
      <c r="B6" t="s">
        <v>93</v>
      </c>
      <c r="C6" s="12">
        <f>Calculations!C12</f>
        <v>1.105</v>
      </c>
      <c r="D6" s="19">
        <f>Calculations!C13</f>
        <v>1.105</v>
      </c>
      <c r="E6" s="20">
        <f t="shared" si="0"/>
        <v>0</v>
      </c>
      <c r="F6" s="17">
        <f t="shared" si="1"/>
        <v>0</v>
      </c>
      <c r="G6" t="str">
        <f>IF(E6&lt;0.02,"PASS","CHECK")</f>
        <v>PASS</v>
      </c>
    </row>
    <row r="7" spans="2:7" x14ac:dyDescent="0.25">
      <c r="B7" t="s">
        <v>94</v>
      </c>
      <c r="C7" s="12">
        <f>Calculations!C17</f>
        <v>1</v>
      </c>
      <c r="D7" s="19">
        <f>Calculations!C18</f>
        <v>1</v>
      </c>
      <c r="E7" s="20">
        <f t="shared" si="0"/>
        <v>0</v>
      </c>
      <c r="F7" s="17">
        <f t="shared" si="1"/>
        <v>0</v>
      </c>
      <c r="G7" t="str">
        <f>IF(E7&lt;0.01,"PASS","CHECK")</f>
        <v>PASS</v>
      </c>
    </row>
    <row r="8" spans="2:7" x14ac:dyDescent="0.25">
      <c r="B8" t="s">
        <v>95</v>
      </c>
      <c r="C8" s="12">
        <f>Calculations!C31</f>
        <v>2.889234916300595</v>
      </c>
      <c r="D8" s="19">
        <f>Calculations!C32</f>
        <v>2.9</v>
      </c>
      <c r="E8" s="20">
        <f t="shared" si="0"/>
        <v>1.0765083699404876E-2</v>
      </c>
      <c r="F8" s="17">
        <f t="shared" si="1"/>
        <v>0.37120978273809918</v>
      </c>
      <c r="G8" t="str">
        <f>IF(E8&lt;0.2,"PASS","CHECK")</f>
        <v>PASS</v>
      </c>
    </row>
    <row r="9" spans="2:7" x14ac:dyDescent="0.25">
      <c r="B9" t="s">
        <v>138</v>
      </c>
      <c r="C9" s="12">
        <f>Calculations!C45</f>
        <v>1056.2152473075175</v>
      </c>
      <c r="D9" s="19">
        <f>Calculations!C46</f>
        <v>1058</v>
      </c>
      <c r="E9" s="20">
        <f t="shared" si="0"/>
        <v>1.7847526924824706</v>
      </c>
      <c r="F9" s="17">
        <f t="shared" si="1"/>
        <v>0.16869118076393863</v>
      </c>
      <c r="G9" t="str">
        <f>IF(F9&lt;5,"PASS","CHECK")</f>
        <v>PASS</v>
      </c>
    </row>
    <row r="10" spans="2:7" x14ac:dyDescent="0.25">
      <c r="B10" t="s">
        <v>123</v>
      </c>
      <c r="C10" s="12">
        <f>Calculations!C51</f>
        <v>0.88700000000000001</v>
      </c>
      <c r="D10" s="19">
        <f>Calculations!C52</f>
        <v>0.85</v>
      </c>
      <c r="E10" s="20">
        <f t="shared" si="0"/>
        <v>3.7000000000000033E-2</v>
      </c>
      <c r="F10" s="17">
        <f t="shared" si="1"/>
        <v>4.3529411764705923</v>
      </c>
      <c r="G10" t="str">
        <f>IF(F10&lt;5,"PASS","CHECK")</f>
        <v>PASS</v>
      </c>
    </row>
    <row r="11" spans="2:7" x14ac:dyDescent="0.25">
      <c r="B11" t="s">
        <v>124</v>
      </c>
      <c r="C11" s="12">
        <f>Calculations!C57</f>
        <v>1.0740000000000001</v>
      </c>
      <c r="D11" s="19">
        <f>Calculations!C58</f>
        <v>1.03</v>
      </c>
      <c r="E11" s="20">
        <f t="shared" si="0"/>
        <v>4.4000000000000039E-2</v>
      </c>
      <c r="F11" s="17">
        <f t="shared" si="1"/>
        <v>4.2718446601941782</v>
      </c>
      <c r="G11" t="str">
        <f>IF(F11&lt;5,"PASS","CHECK")</f>
        <v>PASS</v>
      </c>
    </row>
    <row r="12" spans="2:7" x14ac:dyDescent="0.25">
      <c r="B12" t="s">
        <v>125</v>
      </c>
      <c r="C12" s="12">
        <f>Calculations!C63</f>
        <v>1.1937931532520063</v>
      </c>
      <c r="D12" s="19">
        <f>Calculations!C64</f>
        <v>0.92</v>
      </c>
      <c r="E12" s="20">
        <f t="shared" si="0"/>
        <v>0.27379315325200626</v>
      </c>
      <c r="F12" s="17">
        <f t="shared" si="1"/>
        <v>29.760125353478941</v>
      </c>
      <c r="G12" t="str">
        <f>IF(F12&lt;5,"PASS","CHECK")</f>
        <v>CHECK</v>
      </c>
    </row>
    <row r="13" spans="2:7" x14ac:dyDescent="0.25">
      <c r="B13" t="s">
        <v>139</v>
      </c>
      <c r="C13" s="12">
        <f>Calculations!C74</f>
        <v>0</v>
      </c>
      <c r="D13" s="19">
        <f>Calculations!C75</f>
        <v>460</v>
      </c>
      <c r="E13" s="20">
        <f t="shared" si="0"/>
        <v>460</v>
      </c>
      <c r="F13" s="17">
        <f t="shared" si="1"/>
        <v>100</v>
      </c>
      <c r="G13" t="str">
        <f>IF(F13&lt;10,"PASS","CHECK")</f>
        <v>CHECK</v>
      </c>
    </row>
    <row r="15" spans="2:7" ht="15.75" x14ac:dyDescent="0.25">
      <c r="B15" s="1" t="s">
        <v>140</v>
      </c>
      <c r="C15" s="26" t="str">
        <f>IF(COUNTIF(G5:G13,"CHECK")&gt;0,"REVIEW REQUIRED","ALL CHECKS PASSED")</f>
        <v>REVIEW REQUIRED</v>
      </c>
      <c r="D15" s="22"/>
      <c r="E15" s="22"/>
      <c r="F15" s="22"/>
      <c r="G15" s="22"/>
    </row>
  </sheetData>
  <mergeCells count="2">
    <mergeCell ref="B2:G2"/>
    <mergeCell ref="C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25"/>
  <sheetViews>
    <sheetView workbookViewId="0"/>
  </sheetViews>
  <sheetFormatPr defaultRowHeight="15" x14ac:dyDescent="0.25"/>
  <cols>
    <col min="2" max="2" width="20" customWidth="1"/>
    <col min="3" max="3" width="50" customWidth="1"/>
  </cols>
  <sheetData>
    <row r="2" spans="2:6" ht="24.95" customHeight="1" x14ac:dyDescent="0.3">
      <c r="B2" s="23" t="s">
        <v>141</v>
      </c>
      <c r="C2" s="22"/>
      <c r="D2" s="22"/>
      <c r="E2" s="22"/>
      <c r="F2" s="22"/>
    </row>
    <row r="4" spans="2:6" x14ac:dyDescent="0.25">
      <c r="B4" s="24" t="s">
        <v>142</v>
      </c>
      <c r="C4" s="22"/>
      <c r="D4" s="22"/>
      <c r="E4" s="22"/>
      <c r="F4" s="22"/>
    </row>
    <row r="5" spans="2:6" x14ac:dyDescent="0.25">
      <c r="B5" t="s">
        <v>143</v>
      </c>
      <c r="C5" s="27" t="s">
        <v>13</v>
      </c>
      <c r="D5" s="22"/>
      <c r="E5" s="22"/>
      <c r="F5" s="22"/>
    </row>
    <row r="6" spans="2:6" x14ac:dyDescent="0.25">
      <c r="B6" t="s">
        <v>10</v>
      </c>
      <c r="C6" s="5"/>
    </row>
    <row r="8" spans="2:6" x14ac:dyDescent="0.25">
      <c r="B8" s="25" t="s">
        <v>144</v>
      </c>
      <c r="C8" s="22"/>
      <c r="D8" s="22"/>
      <c r="E8" s="22"/>
      <c r="F8" s="22"/>
    </row>
    <row r="9" spans="2:6" x14ac:dyDescent="0.25">
      <c r="B9" t="s">
        <v>145</v>
      </c>
      <c r="C9" s="22" t="s">
        <v>146</v>
      </c>
      <c r="D9" s="22"/>
      <c r="E9" s="22"/>
      <c r="F9" s="22"/>
    </row>
    <row r="10" spans="2:6" x14ac:dyDescent="0.25">
      <c r="B10" t="s">
        <v>145</v>
      </c>
      <c r="C10" s="22" t="s">
        <v>147</v>
      </c>
      <c r="D10" s="22"/>
      <c r="E10" s="22"/>
      <c r="F10" s="22"/>
    </row>
    <row r="11" spans="2:6" x14ac:dyDescent="0.25">
      <c r="B11" t="s">
        <v>145</v>
      </c>
      <c r="C11" s="22" t="s">
        <v>148</v>
      </c>
      <c r="D11" s="22"/>
      <c r="E11" s="22"/>
      <c r="F11" s="22"/>
    </row>
    <row r="12" spans="2:6" x14ac:dyDescent="0.25">
      <c r="B12" t="s">
        <v>145</v>
      </c>
      <c r="C12" s="22" t="s">
        <v>149</v>
      </c>
      <c r="D12" s="22"/>
      <c r="E12" s="22"/>
      <c r="F12" s="22"/>
    </row>
    <row r="13" spans="2:6" x14ac:dyDescent="0.25">
      <c r="B13" t="s">
        <v>145</v>
      </c>
      <c r="C13" s="22" t="s">
        <v>150</v>
      </c>
      <c r="D13" s="22"/>
      <c r="E13" s="22"/>
      <c r="F13" s="22"/>
    </row>
    <row r="14" spans="2:6" x14ac:dyDescent="0.25">
      <c r="B14" t="s">
        <v>145</v>
      </c>
      <c r="C14" s="22" t="s">
        <v>151</v>
      </c>
      <c r="D14" s="22"/>
      <c r="E14" s="22"/>
      <c r="F14" s="22"/>
    </row>
    <row r="15" spans="2:6" x14ac:dyDescent="0.25">
      <c r="B15" t="s">
        <v>145</v>
      </c>
      <c r="C15" s="22" t="s">
        <v>152</v>
      </c>
      <c r="D15" s="22"/>
      <c r="E15" s="22"/>
      <c r="F15" s="22"/>
    </row>
    <row r="16" spans="2:6" x14ac:dyDescent="0.25">
      <c r="B16" t="s">
        <v>145</v>
      </c>
      <c r="C16" s="22" t="s">
        <v>153</v>
      </c>
      <c r="D16" s="22"/>
      <c r="E16" s="22"/>
      <c r="F16" s="22"/>
    </row>
    <row r="18" spans="2:6" x14ac:dyDescent="0.25">
      <c r="B18" t="s">
        <v>154</v>
      </c>
      <c r="C18" s="27"/>
      <c r="D18" s="22"/>
      <c r="E18" s="22"/>
      <c r="F18" s="22"/>
    </row>
    <row r="21" spans="2:6" x14ac:dyDescent="0.25">
      <c r="B21" s="24" t="s">
        <v>155</v>
      </c>
      <c r="C21" s="22"/>
      <c r="D21" s="22"/>
      <c r="E21" s="22"/>
      <c r="F21" s="22"/>
    </row>
    <row r="22" spans="2:6" x14ac:dyDescent="0.25">
      <c r="B22" t="s">
        <v>143</v>
      </c>
      <c r="C22" s="27"/>
      <c r="D22" s="22"/>
      <c r="E22" s="22"/>
      <c r="F22" s="22"/>
    </row>
    <row r="23" spans="2:6" x14ac:dyDescent="0.25">
      <c r="B23" t="s">
        <v>156</v>
      </c>
      <c r="C23" s="27"/>
      <c r="D23" s="22"/>
      <c r="E23" s="22"/>
      <c r="F23" s="22"/>
    </row>
    <row r="24" spans="2:6" x14ac:dyDescent="0.25">
      <c r="B24" t="s">
        <v>10</v>
      </c>
      <c r="C24" s="5"/>
    </row>
    <row r="25" spans="2:6" x14ac:dyDescent="0.25">
      <c r="B25" t="s">
        <v>154</v>
      </c>
      <c r="C25" s="27"/>
      <c r="D25" s="22"/>
      <c r="E25" s="22"/>
      <c r="F25" s="22"/>
    </row>
  </sheetData>
  <mergeCells count="17">
    <mergeCell ref="C25:F25"/>
    <mergeCell ref="C14:F14"/>
    <mergeCell ref="C22:F22"/>
    <mergeCell ref="C23:F23"/>
    <mergeCell ref="B2:F2"/>
    <mergeCell ref="C12:F12"/>
    <mergeCell ref="C16:F16"/>
    <mergeCell ref="C15:F15"/>
    <mergeCell ref="C11:F11"/>
    <mergeCell ref="B8:F8"/>
    <mergeCell ref="C10:F10"/>
    <mergeCell ref="C5:F5"/>
    <mergeCell ref="B4:F4"/>
    <mergeCell ref="C13:F13"/>
    <mergeCell ref="C9:F9"/>
    <mergeCell ref="C18:F18"/>
    <mergeCell ref="B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Inputs</vt:lpstr>
      <vt:lpstr>Calculations</vt:lpstr>
      <vt:lpstr>Validation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NB NE</cp:lastModifiedBy>
  <dcterms:created xsi:type="dcterms:W3CDTF">2025-12-03T18:04:19Z</dcterms:created>
  <dcterms:modified xsi:type="dcterms:W3CDTF">2025-12-03T18:06:28Z</dcterms:modified>
</cp:coreProperties>
</file>