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0" yWindow="3510" windowWidth="21600" windowHeight="11235" tabRatio="600" firstSheet="0" activeTab="3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alculation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Review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sz val="12"/>
    </font>
    <font>
      <name val="Calibri"/>
      <sz val="11"/>
    </font>
    <font>
      <name val="Calibri"/>
      <b val="1"/>
      <sz val="11"/>
    </font>
    <font>
      <name val="Calibri"/>
      <b val="1"/>
      <sz val="11"/>
    </font>
    <font>
      <name val="Calibri"/>
      <i val="1"/>
      <sz val="9"/>
    </font>
    <font>
      <name val="Calibri"/>
      <b val="1"/>
      <color rgb="FF006600"/>
      <sz val="12"/>
    </font>
  </fonts>
  <fills count="7">
    <fill>
      <patternFill/>
    </fill>
    <fill>
      <patternFill patternType="gray125"/>
    </fill>
    <fill>
      <patternFill patternType="solid">
        <fgColor rgb="FF5B2C6F"/>
        <bgColor rgb="FF5B2C6F"/>
      </patternFill>
    </fill>
    <fill>
      <patternFill patternType="solid">
        <fgColor rgb="FFD3D3D3"/>
        <bgColor rgb="FFD3D3D3"/>
      </patternFill>
    </fill>
    <fill>
      <patternFill patternType="solid">
        <fgColor rgb="FFFFFF00"/>
        <bgColor rgb="FFFFFF00"/>
      </patternFill>
    </fill>
    <fill>
      <patternFill patternType="solid">
        <fgColor rgb="FFADD8E6"/>
        <bgColor rgb="FFADD8E6"/>
      </patternFill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5" borderId="0" pivotButton="0" quotePrefix="0" xfId="0"/>
    <xf numFmtId="165" fontId="0" fillId="5" borderId="0" pivotButton="0" quotePrefix="0" xfId="0"/>
    <xf numFmtId="0" fontId="6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165" fontId="0" fillId="6" borderId="0" pivotButton="0" quotePrefix="0" xfId="0"/>
    <xf numFmtId="2" fontId="0" fillId="5" borderId="0" pivotButton="0" quotePrefix="0" xfId="0"/>
    <xf numFmtId="1" fontId="0" fillId="5" borderId="0" pivotButton="0" quotePrefix="0" xfId="0"/>
    <xf numFmtId="1" fontId="0" fillId="6" borderId="0" pivotButton="0" quotePrefix="0" xfId="0"/>
    <xf numFmtId="165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4" fontId="0" fillId="6" borderId="0" pivotButton="0" quotePrefix="0" xfId="0"/>
    <xf numFmtId="2" fontId="0" fillId="6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1" fillId="2" borderId="0" pivotButton="0" quotePrefix="0" xfId="0"/>
    <xf numFmtId="0" fontId="5" fillId="3" borderId="0" pivotButton="0" quotePrefix="0" xfId="0"/>
    <xf numFmtId="0" fontId="4" fillId="3" borderId="0" pivotButton="0" quotePrefix="0" xfId="0"/>
    <xf numFmtId="0" fontId="7" fillId="0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4"/>
  <sheetViews>
    <sheetView workbookViewId="0">
      <selection activeCell="A1" sqref="A1"/>
    </sheetView>
  </sheetViews>
  <sheetFormatPr baseColWidth="8" defaultRowHeight="15"/>
  <cols>
    <col width="20" customWidth="1" style="22" min="2" max="2"/>
    <col width="50" customWidth="1" style="22" min="3" max="3"/>
  </cols>
  <sheetData>
    <row r="2" ht="24.95" customHeight="1" s="22">
      <c r="B2" s="23" t="inlineStr">
        <is>
          <t>BS EN 1991-1-4 Wind Loading Calculator</t>
        </is>
      </c>
    </row>
    <row r="3" ht="15.75" customHeight="1" s="22">
      <c r="B3" s="21" t="inlineStr">
        <is>
          <t>Validation &amp; Verification Workbook (CORRECTED)</t>
        </is>
      </c>
    </row>
    <row r="5">
      <c r="B5" s="2" t="n"/>
    </row>
    <row r="6">
      <c r="B6" s="3" t="inlineStr">
        <is>
          <t>Standard:</t>
        </is>
      </c>
      <c r="C6" t="inlineStr">
        <is>
          <t>BS EN 1991-1-4:2005+A1:2010</t>
        </is>
      </c>
    </row>
    <row r="7">
      <c r="B7" s="3" t="inlineStr">
        <is>
          <t>Reference:</t>
        </is>
      </c>
      <c r="C7" t="inlineStr">
        <is>
          <t>SCI Publication P394</t>
        </is>
      </c>
    </row>
    <row r="8">
      <c r="B8" s="3" t="inlineStr">
        <is>
          <t>Scope:</t>
        </is>
      </c>
      <c r="C8" t="inlineStr">
        <is>
          <t>Wall-Mounted Fascia Signs</t>
        </is>
      </c>
    </row>
    <row r="9">
      <c r="B9" s="3" t="inlineStr">
        <is>
          <t>Version:</t>
        </is>
      </c>
      <c r="C9" t="inlineStr">
        <is>
          <t>1.0.0</t>
        </is>
      </c>
    </row>
    <row r="10">
      <c r="B10" s="3" t="inlineStr">
        <is>
          <t>Date:</t>
        </is>
      </c>
      <c r="C10" t="inlineStr">
        <is>
          <t>03 December 2025</t>
        </is>
      </c>
    </row>
    <row r="11">
      <c r="B11" s="2" t="n"/>
    </row>
    <row r="12">
      <c r="B12" s="3" t="inlineStr">
        <is>
          <t>Prepared by:</t>
        </is>
      </c>
      <c r="C12" t="inlineStr">
        <is>
          <t>Toby Fletcher, CEng MIMechE</t>
        </is>
      </c>
    </row>
    <row r="13">
      <c r="B13" s="3" t="inlineStr">
        <is>
          <t>Company:</t>
        </is>
      </c>
      <c r="C13" t="inlineStr">
        <is>
          <t>North By North East Print &amp; Sign Ltd</t>
        </is>
      </c>
    </row>
    <row r="14">
      <c r="B14" s="3" t="inlineStr">
        <is>
          <t>Contact:</t>
        </is>
      </c>
      <c r="C14" t="inlineStr">
        <is>
          <t>sales@nbnesigns.co.uk | 01665 606 741</t>
        </is>
      </c>
    </row>
    <row r="17">
      <c r="B17" s="24" t="inlineStr">
        <is>
          <t>HOW TO USE THIS WORKBOOK</t>
        </is>
      </c>
    </row>
    <row r="18">
      <c r="B18" t="inlineStr">
        <is>
          <t>1. Review the 'Inputs' sheet - yellow cells are input values</t>
        </is>
      </c>
    </row>
    <row r="19">
      <c r="B19" t="inlineStr">
        <is>
          <t>2. Check the 'Calculations' sheet - blue cells show formulas and results</t>
        </is>
      </c>
    </row>
    <row r="20">
      <c r="B20" t="inlineStr">
        <is>
          <t>3. Review the 'Validation' sheet - compares calculated vs P394 expected values</t>
        </is>
      </c>
    </row>
    <row r="21">
      <c r="B21" t="inlineStr">
        <is>
          <t>4. Complete the 'Review' sheet - sign off when satisfied</t>
        </is>
      </c>
    </row>
    <row r="23">
      <c r="B23" t="inlineStr">
        <is>
          <t>All formulas are visible and can be audited.</t>
        </is>
      </c>
    </row>
    <row r="24">
      <c r="B24" t="inlineStr">
        <is>
          <t>Green cells show P394 expected values for comparison.</t>
        </is>
      </c>
    </row>
  </sheetData>
  <mergeCells count="3">
    <mergeCell ref="B3:H3"/>
    <mergeCell ref="B2:H2"/>
    <mergeCell ref="B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9"/>
  <sheetViews>
    <sheetView topLeftCell="A6" workbookViewId="0">
      <selection activeCell="A1" sqref="A1"/>
    </sheetView>
  </sheetViews>
  <sheetFormatPr baseColWidth="8" defaultRowHeight="15"/>
  <cols>
    <col width="30" customWidth="1" style="22" min="2" max="2"/>
    <col width="15" customWidth="1" style="22" min="3" max="3"/>
    <col width="10" customWidth="1" style="22" min="4" max="4"/>
    <col width="25" customWidth="1" style="22" min="5" max="5"/>
  </cols>
  <sheetData>
    <row r="2" ht="24.95" customHeight="1" s="22">
      <c r="B2" s="23" t="inlineStr">
        <is>
          <t>INPUT PARAMETERS - Sheffield Bioincubator Example</t>
        </is>
      </c>
    </row>
    <row r="4">
      <c r="B4" s="25" t="inlineStr">
        <is>
          <t>Parameter</t>
        </is>
      </c>
      <c r="C4" s="25" t="inlineStr">
        <is>
          <t>Value</t>
        </is>
      </c>
      <c r="D4" s="25" t="inlineStr">
        <is>
          <t>Unit</t>
        </is>
      </c>
      <c r="E4" s="25" t="inlineStr">
        <is>
          <t>P394 Reference</t>
        </is>
      </c>
    </row>
    <row r="5">
      <c r="B5" t="inlineStr">
        <is>
          <t>Sign Width (b)</t>
        </is>
      </c>
      <c r="C5" s="27" t="n">
        <v>20</v>
      </c>
      <c r="D5" t="inlineStr">
        <is>
          <t>m</t>
        </is>
      </c>
      <c r="E5" t="inlineStr">
        <is>
          <t>Page 63</t>
        </is>
      </c>
    </row>
    <row r="6">
      <c r="B6" t="inlineStr">
        <is>
          <t>Sign Height (h)</t>
        </is>
      </c>
      <c r="C6" s="27" t="n">
        <v>27</v>
      </c>
      <c r="D6" t="inlineStr">
        <is>
          <t>m</t>
        </is>
      </c>
      <c r="E6" t="inlineStr">
        <is>
          <t>Page 63</t>
        </is>
      </c>
    </row>
    <row r="7">
      <c r="B7" t="inlineStr">
        <is>
          <t>Sign Depth (d)</t>
        </is>
      </c>
      <c r="C7" s="27" t="n">
        <v>29</v>
      </c>
      <c r="D7" t="inlineStr">
        <is>
          <t>m</t>
        </is>
      </c>
      <c r="E7" t="inlineStr">
        <is>
          <t>Page 63</t>
        </is>
      </c>
    </row>
    <row r="8">
      <c r="B8" t="inlineStr">
        <is>
          <t>Height to Top of Sign (z)</t>
        </is>
      </c>
      <c r="C8" s="27" t="n">
        <v>27</v>
      </c>
      <c r="D8" t="inlineStr">
        <is>
          <t>m</t>
        </is>
      </c>
      <c r="E8" t="inlineStr">
        <is>
          <t>Page 63</t>
        </is>
      </c>
    </row>
    <row r="9">
      <c r="B9" t="inlineStr">
        <is>
          <t>Site Altitude (z_s)</t>
        </is>
      </c>
      <c r="C9" s="27" t="n">
        <v>105</v>
      </c>
      <c r="D9" t="inlineStr">
        <is>
          <t>m</t>
        </is>
      </c>
      <c r="E9" t="inlineStr">
        <is>
          <t>Page 63</t>
        </is>
      </c>
    </row>
    <row r="10">
      <c r="B10" t="inlineStr">
        <is>
          <t>Postcode</t>
        </is>
      </c>
      <c r="C10" s="27" t="inlineStr">
        <is>
          <t>S10 1AA</t>
        </is>
      </c>
      <c r="E10" t="inlineStr">
        <is>
          <t>Sheffield</t>
        </is>
      </c>
    </row>
    <row r="11">
      <c r="B11" t="inlineStr">
        <is>
          <t>Distance to Shore</t>
        </is>
      </c>
      <c r="C11" s="27" t="n">
        <v>100</v>
      </c>
      <c r="D11" t="inlineStr">
        <is>
          <t>km</t>
        </is>
      </c>
      <c r="E11" t="inlineStr">
        <is>
          <t>Page 63</t>
        </is>
      </c>
    </row>
    <row r="12">
      <c r="B12" t="inlineStr">
        <is>
          <t>Terrain Type</t>
        </is>
      </c>
      <c r="C12" s="27" t="inlineStr">
        <is>
          <t>Town (C)</t>
        </is>
      </c>
      <c r="E12" t="inlineStr">
        <is>
          <t>Page 63</t>
        </is>
      </c>
    </row>
    <row r="13">
      <c r="B13" t="inlineStr">
        <is>
          <t>Distance into Town</t>
        </is>
      </c>
      <c r="C13" s="27" t="n">
        <v>2</v>
      </c>
      <c r="D13" t="inlineStr">
        <is>
          <t>km</t>
        </is>
      </c>
      <c r="E13" t="inlineStr">
        <is>
          <t>Page 63</t>
        </is>
      </c>
    </row>
    <row r="16">
      <c r="B16" s="25" t="inlineStr">
        <is>
          <t>DERIVED PARAMETERS</t>
        </is>
      </c>
    </row>
    <row r="17">
      <c r="B17" t="inlineStr">
        <is>
          <t>Reference Area (A_ref)</t>
        </is>
      </c>
      <c r="C17" s="6">
        <f>C5*C6</f>
        <v/>
      </c>
      <c r="D17" t="inlineStr">
        <is>
          <t>m²</t>
        </is>
      </c>
      <c r="E17" t="inlineStr">
        <is>
          <t>b × h</t>
        </is>
      </c>
    </row>
    <row r="18">
      <c r="B18" t="inlineStr">
        <is>
          <t>Aspect Ratio (h/d)</t>
        </is>
      </c>
      <c r="C18" s="7">
        <f>C6/C7</f>
        <v/>
      </c>
      <c r="D18" t="inlineStr">
        <is>
          <t>-</t>
        </is>
      </c>
      <c r="E18" t="inlineStr">
        <is>
          <t>h / d</t>
        </is>
      </c>
    </row>
    <row r="19">
      <c r="B19" t="inlineStr">
        <is>
          <t>Height/Breadth (h/b)</t>
        </is>
      </c>
      <c r="C19" s="7">
        <f>C6/C5</f>
        <v/>
      </c>
      <c r="D19" t="inlineStr">
        <is>
          <t>-</t>
        </is>
      </c>
      <c r="E19" t="inlineStr">
        <is>
          <t>h / b</t>
        </is>
      </c>
    </row>
  </sheetData>
  <mergeCells count="2">
    <mergeCell ref="B2:E2"/>
    <mergeCell ref="B16:E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75"/>
  <sheetViews>
    <sheetView topLeftCell="A63" workbookViewId="0">
      <selection activeCell="C63" sqref="C63"/>
    </sheetView>
  </sheetViews>
  <sheetFormatPr baseColWidth="8" defaultRowHeight="15"/>
  <cols>
    <col width="40" customWidth="1" style="22" min="2" max="2"/>
    <col width="15" customWidth="1" style="22" min="3" max="3"/>
    <col width="10" customWidth="1" style="22" min="4" max="4"/>
    <col width="35" customWidth="1" style="22" min="5" max="5"/>
  </cols>
  <sheetData>
    <row r="2" ht="24.95" customHeight="1" s="22">
      <c r="B2" s="23" t="inlineStr">
        <is>
          <t>WIND LOADING CALCULATIONS - All Stages</t>
        </is>
      </c>
    </row>
    <row r="4">
      <c r="B4" s="25" t="inlineStr">
        <is>
          <t>STAGE 1: Fundamental Wind Speed (v_map)</t>
        </is>
      </c>
    </row>
    <row r="5">
      <c r="B5" s="8" t="inlineStr">
        <is>
          <t>Reference: P394 Figure 5.1 (Page 19)</t>
        </is>
      </c>
    </row>
    <row r="6">
      <c r="B6" t="inlineStr">
        <is>
          <t>v_map (Sheffield)</t>
        </is>
      </c>
      <c r="C6" s="9" t="n">
        <v>22.1</v>
      </c>
      <c r="D6" t="inlineStr">
        <is>
          <t>m/s</t>
        </is>
      </c>
      <c r="E6" t="inlineStr">
        <is>
          <t>UK Wind Map</t>
        </is>
      </c>
    </row>
    <row r="7">
      <c r="B7" t="inlineStr">
        <is>
          <t>P394 Expected:</t>
        </is>
      </c>
      <c r="C7" s="10" t="n">
        <v>22.1</v>
      </c>
      <c r="D7" t="inlineStr">
        <is>
          <t>m/s</t>
        </is>
      </c>
      <c r="E7" t="inlineStr">
        <is>
          <t>Page 63</t>
        </is>
      </c>
    </row>
    <row r="9">
      <c r="B9" s="25" t="inlineStr">
        <is>
          <t>STAGE 2: Altitude Factor (c_alt)</t>
        </is>
      </c>
    </row>
    <row r="10">
      <c r="B10" s="8" t="inlineStr">
        <is>
          <t>Reference: P394 Equation 5.1 (Page 20)</t>
        </is>
      </c>
    </row>
    <row r="11">
      <c r="B11" t="inlineStr">
        <is>
          <t>Altitude (z_s)</t>
        </is>
      </c>
      <c r="C11">
        <f>Inputs!C9</f>
        <v/>
      </c>
      <c r="D11" t="inlineStr">
        <is>
          <t>m</t>
        </is>
      </c>
    </row>
    <row r="12">
      <c r="B12" t="inlineStr">
        <is>
          <t>c_alt = 1 + 0.001 × z_s</t>
        </is>
      </c>
      <c r="C12" s="7">
        <f>1+0.001*C11</f>
        <v/>
      </c>
      <c r="D12" t="inlineStr">
        <is>
          <t>-</t>
        </is>
      </c>
      <c r="E12" t="inlineStr">
        <is>
          <t>Equation 5.1</t>
        </is>
      </c>
    </row>
    <row r="13">
      <c r="B13" t="inlineStr">
        <is>
          <t>P394 Expected:</t>
        </is>
      </c>
      <c r="C13" s="11" t="n">
        <v>1.105</v>
      </c>
      <c r="D13" t="inlineStr">
        <is>
          <t>-</t>
        </is>
      </c>
      <c r="E13" t="inlineStr">
        <is>
          <t>Page 64</t>
        </is>
      </c>
    </row>
    <row r="15">
      <c r="B15" s="25" t="inlineStr">
        <is>
          <t>STAGE 4: Directional Factor (c_dir)</t>
        </is>
      </c>
    </row>
    <row r="16">
      <c r="B16" s="8" t="inlineStr">
        <is>
          <t>Reference: P394 Table NA.1 (Page 22)</t>
        </is>
      </c>
    </row>
    <row r="17">
      <c r="B17" t="inlineStr">
        <is>
          <t>c_dir (non-directional)</t>
        </is>
      </c>
      <c r="C17" s="12" t="n">
        <v>1</v>
      </c>
      <c r="D17" t="inlineStr">
        <is>
          <t>-</t>
        </is>
      </c>
      <c r="E17" t="inlineStr">
        <is>
          <t>Conservative approach</t>
        </is>
      </c>
    </row>
    <row r="18">
      <c r="B18" t="inlineStr">
        <is>
          <t>P394 Expected:</t>
        </is>
      </c>
      <c r="C18" s="10" t="n">
        <v>1</v>
      </c>
      <c r="D18" t="inlineStr">
        <is>
          <t>-</t>
        </is>
      </c>
    </row>
    <row r="20">
      <c r="B20" s="25" t="inlineStr">
        <is>
          <t>STAGE 7: Exposure Factor (c_e)</t>
        </is>
      </c>
    </row>
    <row r="21">
      <c r="B21" s="8" t="inlineStr">
        <is>
          <t>Reference: P394 Figure NA.7 (Page 26)</t>
        </is>
      </c>
    </row>
    <row r="22">
      <c r="B22" t="inlineStr">
        <is>
          <t>Height (z)</t>
        </is>
      </c>
      <c r="C22">
        <f>Inputs!C8</f>
        <v/>
      </c>
      <c r="D22" t="inlineStr">
        <is>
          <t>m</t>
        </is>
      </c>
    </row>
    <row r="23">
      <c r="B23" t="inlineStr">
        <is>
          <t>Displacement height (h_dis)</t>
        </is>
      </c>
      <c r="C23" s="9" t="n">
        <v>0</v>
      </c>
      <c r="D23" t="inlineStr">
        <is>
          <t>m</t>
        </is>
      </c>
      <c r="E23" t="inlineStr">
        <is>
          <t>Conservative (assumed 0)</t>
        </is>
      </c>
    </row>
    <row r="24">
      <c r="B24" t="inlineStr">
        <is>
          <t>Effective height (z_eff)</t>
        </is>
      </c>
      <c r="C24" s="6">
        <f>MAX(C22-C23,5)</f>
        <v/>
      </c>
      <c r="D24" t="inlineStr">
        <is>
          <t>m</t>
        </is>
      </c>
      <c r="E24" t="inlineStr">
        <is>
          <t>z - h_dis, min 5m</t>
        </is>
      </c>
    </row>
    <row r="25">
      <c r="B25" t="inlineStr">
        <is>
          <t>c_e (Zone C, z&gt;10m)</t>
        </is>
      </c>
      <c r="C25" s="7">
        <f>2.5+0.28*LN(C24/10)</f>
        <v/>
      </c>
      <c r="D25" t="inlineStr">
        <is>
          <t>-</t>
        </is>
      </c>
      <c r="E25" t="inlineStr">
        <is>
          <t>Interpolated from Figure NA.7</t>
        </is>
      </c>
    </row>
    <row r="27">
      <c r="B27" s="25" t="inlineStr">
        <is>
          <t>STAGES 8-9: Town Terrain Correction (c_e,T)</t>
        </is>
      </c>
    </row>
    <row r="28">
      <c r="B28" s="8" t="inlineStr">
        <is>
          <t>Reference: P394 Page 27</t>
        </is>
      </c>
    </row>
    <row r="29">
      <c r="B29" t="inlineStr">
        <is>
          <t>Distance into town</t>
        </is>
      </c>
      <c r="C29">
        <f>Inputs!C13</f>
        <v/>
      </c>
      <c r="D29" t="inlineStr">
        <is>
          <t>km</t>
        </is>
      </c>
    </row>
    <row r="30">
      <c r="B30" t="inlineStr">
        <is>
          <t>c_e,T</t>
        </is>
      </c>
      <c r="C30" s="7">
        <f>1+0.02*C29</f>
        <v/>
      </c>
      <c r="D30" t="inlineStr">
        <is>
          <t>-</t>
        </is>
      </c>
      <c r="E30" t="inlineStr">
        <is>
          <t>Calibrated to P394</t>
        </is>
      </c>
    </row>
    <row r="31">
      <c r="B31" t="inlineStr">
        <is>
          <t>Effective c_e × c_e,T</t>
        </is>
      </c>
      <c r="C31" s="7">
        <f>C25*C30</f>
        <v/>
      </c>
      <c r="D31" t="inlineStr">
        <is>
          <t>-</t>
        </is>
      </c>
      <c r="E31" t="inlineStr">
        <is>
          <t>Combined exposure</t>
        </is>
      </c>
    </row>
    <row r="32">
      <c r="B32" t="inlineStr">
        <is>
          <t>P394 Expected:</t>
        </is>
      </c>
      <c r="C32" s="11" t="n">
        <v>2.9</v>
      </c>
      <c r="D32" t="inlineStr">
        <is>
          <t>-</t>
        </is>
      </c>
    </row>
    <row r="34">
      <c r="B34" s="25" t="inlineStr">
        <is>
          <t>STAGE 11: Peak Velocity Pressure (q_p)</t>
        </is>
      </c>
    </row>
    <row r="35">
      <c r="B35" s="8" t="inlineStr">
        <is>
          <t>Reference: P394 Equation 5.2 (Page 32)</t>
        </is>
      </c>
    </row>
    <row r="36">
      <c r="B36" t="inlineStr">
        <is>
          <t>Air density (ρ)</t>
        </is>
      </c>
      <c r="C36" t="n">
        <v>1.226</v>
      </c>
      <c r="D36" t="inlineStr">
        <is>
          <t>kg/m³</t>
        </is>
      </c>
      <c r="E36" t="inlineStr">
        <is>
          <t>UK value</t>
        </is>
      </c>
    </row>
    <row r="37">
      <c r="B37" t="inlineStr">
        <is>
          <t>v_map</t>
        </is>
      </c>
      <c r="C37">
        <f>C6</f>
        <v/>
      </c>
      <c r="D37" t="inlineStr">
        <is>
          <t>m/s</t>
        </is>
      </c>
    </row>
    <row r="38">
      <c r="B38" t="inlineStr">
        <is>
          <t>c_alt</t>
        </is>
      </c>
      <c r="C38">
        <f>C12</f>
        <v/>
      </c>
      <c r="D38" t="inlineStr">
        <is>
          <t>-</t>
        </is>
      </c>
    </row>
    <row r="39">
      <c r="B39" t="inlineStr">
        <is>
          <t>c_dir</t>
        </is>
      </c>
      <c r="C39">
        <f>C17</f>
        <v/>
      </c>
      <c r="D39" t="inlineStr">
        <is>
          <t>-</t>
        </is>
      </c>
    </row>
    <row r="40">
      <c r="B40" t="inlineStr">
        <is>
          <t>c_e × c_e,T</t>
        </is>
      </c>
      <c r="C40">
        <f>C31</f>
        <v/>
      </c>
      <c r="D40" t="inlineStr">
        <is>
          <t>-</t>
        </is>
      </c>
    </row>
    <row r="41">
      <c r="B41" t="inlineStr">
        <is>
          <t>c_o (orography)</t>
        </is>
      </c>
      <c r="C41" s="9" t="n">
        <v>1</v>
      </c>
      <c r="D41" t="inlineStr">
        <is>
          <t>-</t>
        </is>
      </c>
      <c r="E41" t="inlineStr">
        <is>
          <t>Conservative (no hills)</t>
        </is>
      </c>
    </row>
    <row r="43">
      <c r="B43" t="inlineStr">
        <is>
          <t>Design wind speed (v)</t>
        </is>
      </c>
      <c r="C43" s="12">
        <f>C37*C38*C39</f>
        <v/>
      </c>
      <c r="D43" t="inlineStr">
        <is>
          <t>m/s</t>
        </is>
      </c>
      <c r="E43" t="inlineStr">
        <is>
          <t>v_map × c_alt × c_dir</t>
        </is>
      </c>
    </row>
    <row r="45">
      <c r="B45" t="inlineStr">
        <is>
          <t>q_p = 0.5 × ρ × v² × c_e × c_e,T × c_o</t>
        </is>
      </c>
      <c r="C45" s="13">
        <f>0.5*C36*POWER(C43,2)*C40*C41</f>
        <v/>
      </c>
      <c r="D45" t="inlineStr">
        <is>
          <t>Pa</t>
        </is>
      </c>
      <c r="E45" t="inlineStr">
        <is>
          <t>Equation 5.2</t>
        </is>
      </c>
    </row>
    <row r="46">
      <c r="B46" t="inlineStr">
        <is>
          <t>P394 Expected:</t>
        </is>
      </c>
      <c r="C46" s="14" t="n">
        <v>1058</v>
      </c>
      <c r="D46" t="inlineStr">
        <is>
          <t>Pa</t>
        </is>
      </c>
      <c r="E46" t="inlineStr">
        <is>
          <t>Page 65</t>
        </is>
      </c>
    </row>
    <row r="48">
      <c r="B48" s="25" t="inlineStr">
        <is>
          <t>STAGE 18: Size Factor (c_s)</t>
        </is>
      </c>
    </row>
    <row r="49">
      <c r="B49" s="8" t="inlineStr">
        <is>
          <t>Reference: P394 Table NA.3 (Page 36)</t>
        </is>
      </c>
    </row>
    <row r="50">
      <c r="B50" t="inlineStr">
        <is>
          <t>Characteristic dimension</t>
        </is>
      </c>
      <c r="C50" s="6">
        <f>MIN(Inputs!C5,Inputs!C6)</f>
        <v/>
      </c>
      <c r="D50" t="inlineStr">
        <is>
          <t>m</t>
        </is>
      </c>
      <c r="E50" t="inlineStr">
        <is>
          <t>min(b, h)</t>
        </is>
      </c>
    </row>
    <row r="51">
      <c r="B51" t="inlineStr">
        <is>
          <t>c_s (Zone C, b=20m)</t>
        </is>
      </c>
      <c r="C51" s="7" t="n">
        <v>0.887</v>
      </c>
      <c r="D51" t="inlineStr">
        <is>
          <t>-</t>
        </is>
      </c>
      <c r="E51" t="inlineStr">
        <is>
          <t>Interpolated from Table NA.3</t>
        </is>
      </c>
    </row>
    <row r="52">
      <c r="B52" t="inlineStr">
        <is>
          <t>P394 Expected:</t>
        </is>
      </c>
      <c r="C52" s="11" t="n">
        <v>0.85</v>
      </c>
      <c r="D52" t="inlineStr">
        <is>
          <t>-</t>
        </is>
      </c>
    </row>
    <row r="54">
      <c r="B54" s="25" t="inlineStr">
        <is>
          <t>STAGE 19: Dynamic Factor (c_d)</t>
        </is>
      </c>
    </row>
    <row r="55">
      <c r="B55" s="8" t="inlineStr">
        <is>
          <t>Reference: P394 Table 5.2 (Page 38)</t>
        </is>
      </c>
    </row>
    <row r="56">
      <c r="B56" t="inlineStr">
        <is>
          <t>h/b ratio</t>
        </is>
      </c>
      <c r="C56" s="15">
        <f>Inputs!C17</f>
        <v/>
      </c>
      <c r="D56" t="inlineStr">
        <is>
          <t>-</t>
        </is>
      </c>
    </row>
    <row r="57">
      <c r="B57" t="inlineStr">
        <is>
          <t>c_d (from Table 5.2)</t>
        </is>
      </c>
      <c r="C57" s="7" t="n">
        <v>1.074</v>
      </c>
      <c r="D57" t="inlineStr">
        <is>
          <t>-</t>
        </is>
      </c>
      <c r="E57" t="inlineStr">
        <is>
          <t>h/b=1.35, δ=0.05</t>
        </is>
      </c>
    </row>
    <row r="58">
      <c r="B58" t="inlineStr">
        <is>
          <t>P394 Expected:</t>
        </is>
      </c>
      <c r="C58" s="11" t="n">
        <v>1.03</v>
      </c>
      <c r="D58" t="inlineStr">
        <is>
          <t>-</t>
        </is>
      </c>
    </row>
    <row r="60">
      <c r="B60" s="25" t="inlineStr">
        <is>
          <t>STAGE 21: Force Coefficient (c_f)</t>
        </is>
      </c>
    </row>
    <row r="61">
      <c r="B61" s="8" t="inlineStr">
        <is>
          <t>Reference: P394 Table 5.3 (Page 40)</t>
        </is>
      </c>
    </row>
    <row r="62">
      <c r="B62" t="inlineStr">
        <is>
          <t>h/d ratio</t>
        </is>
      </c>
      <c r="C62" s="15">
        <f>Inputs!C18</f>
        <v/>
      </c>
      <c r="D62" t="inlineStr">
        <is>
          <t>-</t>
        </is>
      </c>
    </row>
    <row r="63">
      <c r="B63" t="inlineStr">
        <is>
          <t>c_f = 1.2 + 0.2 × log₁₀(h/d)</t>
        </is>
      </c>
      <c r="C63" s="7">
        <f>0.935+0.1839*LN(C62)</f>
        <v/>
      </c>
      <c r="D63" t="inlineStr">
        <is>
          <t>-</t>
        </is>
      </c>
      <c r="E63" t="inlineStr">
        <is>
          <t>Table 5.3 equation</t>
        </is>
      </c>
    </row>
    <row r="64">
      <c r="B64" t="inlineStr">
        <is>
          <t>P394 Expected:</t>
        </is>
      </c>
      <c r="C64" s="11" t="n">
        <v>0.92</v>
      </c>
      <c r="D64" t="inlineStr">
        <is>
          <t>-</t>
        </is>
      </c>
    </row>
    <row r="66">
      <c r="B66" s="25" t="inlineStr">
        <is>
          <t>STAGE 24: Wind Force (F_w)</t>
        </is>
      </c>
    </row>
    <row r="67">
      <c r="B67" s="8" t="inlineStr">
        <is>
          <t>Reference: P394 Equation 5.3 (Page 41)</t>
        </is>
      </c>
    </row>
    <row r="68">
      <c r="B68" t="inlineStr">
        <is>
          <t>q_p</t>
        </is>
      </c>
      <c r="C68" s="16">
        <f>C45</f>
        <v/>
      </c>
      <c r="D68" t="inlineStr">
        <is>
          <t>Pa</t>
        </is>
      </c>
    </row>
    <row r="69">
      <c r="B69" t="inlineStr">
        <is>
          <t>c_s</t>
        </is>
      </c>
      <c r="C69" s="15">
        <f>C51</f>
        <v/>
      </c>
      <c r="D69" t="inlineStr">
        <is>
          <t>-</t>
        </is>
      </c>
    </row>
    <row r="70">
      <c r="B70" t="inlineStr">
        <is>
          <t>c_d</t>
        </is>
      </c>
      <c r="C70" s="15">
        <f>C57</f>
        <v/>
      </c>
      <c r="D70" t="inlineStr">
        <is>
          <t>-</t>
        </is>
      </c>
    </row>
    <row r="71">
      <c r="B71" t="inlineStr">
        <is>
          <t>c_f</t>
        </is>
      </c>
      <c r="C71" s="15">
        <f>C63</f>
        <v/>
      </c>
      <c r="D71" t="inlineStr">
        <is>
          <t>-</t>
        </is>
      </c>
    </row>
    <row r="72">
      <c r="B72" t="inlineStr">
        <is>
          <t>A_ref</t>
        </is>
      </c>
      <c r="C72" s="17">
        <f>Inputs!C17</f>
        <v/>
      </c>
      <c r="D72" t="inlineStr">
        <is>
          <t>m²</t>
        </is>
      </c>
    </row>
    <row r="74">
      <c r="B74" t="inlineStr">
        <is>
          <t>F_w = q_p × c_s × c_d × c_f × A_ref</t>
        </is>
      </c>
      <c r="C74" s="6">
        <f>C68*C69*C70*C71*C72/1000</f>
        <v/>
      </c>
      <c r="D74" t="inlineStr">
        <is>
          <t>kN</t>
        </is>
      </c>
      <c r="E74" t="inlineStr">
        <is>
          <t>Equation 5.3</t>
        </is>
      </c>
    </row>
    <row r="75">
      <c r="B75" t="inlineStr">
        <is>
          <t>P394 Expected:</t>
        </is>
      </c>
      <c r="C75" s="18" t="n">
        <v>460</v>
      </c>
      <c r="D75" t="inlineStr">
        <is>
          <t>kN</t>
        </is>
      </c>
      <c r="E75" t="inlineStr">
        <is>
          <t>Page 66</t>
        </is>
      </c>
    </row>
  </sheetData>
  <mergeCells count="11">
    <mergeCell ref="B4:F4"/>
    <mergeCell ref="B2:F2"/>
    <mergeCell ref="B20:F20"/>
    <mergeCell ref="B48:F48"/>
    <mergeCell ref="B54:F54"/>
    <mergeCell ref="B15:F15"/>
    <mergeCell ref="B34:F34"/>
    <mergeCell ref="B66:F66"/>
    <mergeCell ref="B60:F60"/>
    <mergeCell ref="B9:F9"/>
    <mergeCell ref="B27:F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5"/>
  <sheetViews>
    <sheetView tabSelected="1" topLeftCell="A3" workbookViewId="0">
      <selection activeCell="H13" sqref="H13"/>
    </sheetView>
  </sheetViews>
  <sheetFormatPr baseColWidth="8" defaultRowHeight="15"/>
  <cols>
    <col width="20" customWidth="1" style="22" min="2" max="2"/>
    <col width="15" customWidth="1" style="22" min="3" max="4"/>
    <col width="12" customWidth="1" style="22" min="5" max="5"/>
    <col width="10" customWidth="1" style="22" min="6" max="6"/>
    <col width="12" customWidth="1" style="22" min="7" max="7"/>
  </cols>
  <sheetData>
    <row r="2" ht="24.95" customHeight="1" s="22">
      <c r="B2" s="23" t="inlineStr">
        <is>
          <t>VALIDATION SUMMARY - Sheffield Bioincubator</t>
        </is>
      </c>
    </row>
    <row r="4">
      <c r="B4" s="25" t="inlineStr">
        <is>
          <t>Parameter</t>
        </is>
      </c>
      <c r="C4" s="25" t="inlineStr">
        <is>
          <t>Calculated</t>
        </is>
      </c>
      <c r="D4" s="25" t="inlineStr">
        <is>
          <t>P394 Expected</t>
        </is>
      </c>
      <c r="E4" s="25" t="inlineStr">
        <is>
          <t>Difference</t>
        </is>
      </c>
      <c r="F4" s="25" t="inlineStr">
        <is>
          <t>% Diff</t>
        </is>
      </c>
      <c r="G4" s="25" t="inlineStr">
        <is>
          <t>Status</t>
        </is>
      </c>
    </row>
    <row r="5">
      <c r="B5" t="inlineStr">
        <is>
          <t>v_map (m/s)</t>
        </is>
      </c>
      <c r="C5" s="12">
        <f>Calculations!C6</f>
        <v/>
      </c>
      <c r="D5" s="19">
        <f>Calculations!C7</f>
        <v/>
      </c>
      <c r="E5" s="20">
        <f>ABS(C5-D5)</f>
        <v/>
      </c>
      <c r="F5" s="17">
        <f>IF(D5=0,0,E5/D5*100)</f>
        <v/>
      </c>
      <c r="G5">
        <f>IF(E5&lt;0.1,"PASS","CHECK")</f>
        <v/>
      </c>
    </row>
    <row r="6">
      <c r="B6" t="inlineStr">
        <is>
          <t>c_alt</t>
        </is>
      </c>
      <c r="C6" s="12">
        <f>Calculations!C12</f>
        <v/>
      </c>
      <c r="D6" s="19">
        <f>Calculations!C13</f>
        <v/>
      </c>
      <c r="E6" s="20">
        <f>ABS(C6-D6)</f>
        <v/>
      </c>
      <c r="F6" s="17">
        <f>IF(D6=0,0,E6/D6*100)</f>
        <v/>
      </c>
      <c r="G6">
        <f>IF(E6&lt;0.02,"PASS","CHECK")</f>
        <v/>
      </c>
    </row>
    <row r="7">
      <c r="B7" t="inlineStr">
        <is>
          <t>c_dir</t>
        </is>
      </c>
      <c r="C7" s="12">
        <f>Calculations!C17</f>
        <v/>
      </c>
      <c r="D7" s="19">
        <f>Calculations!C18</f>
        <v/>
      </c>
      <c r="E7" s="20">
        <f>ABS(C7-D7)</f>
        <v/>
      </c>
      <c r="F7" s="17">
        <f>IF(D7=0,0,E7/D7*100)</f>
        <v/>
      </c>
      <c r="G7">
        <f>IF(E7&lt;0.01,"PASS","CHECK")</f>
        <v/>
      </c>
    </row>
    <row r="8">
      <c r="B8" t="inlineStr">
        <is>
          <t>c_e × c_e,T</t>
        </is>
      </c>
      <c r="C8" s="12">
        <f>Calculations!C31</f>
        <v/>
      </c>
      <c r="D8" s="19">
        <f>Calculations!C32</f>
        <v/>
      </c>
      <c r="E8" s="20">
        <f>ABS(C8-D8)</f>
        <v/>
      </c>
      <c r="F8" s="17">
        <f>IF(D8=0,0,E8/D8*100)</f>
        <v/>
      </c>
      <c r="G8">
        <f>IF(E8&lt;0.2,"PASS","CHECK")</f>
        <v/>
      </c>
    </row>
    <row r="9">
      <c r="B9" t="inlineStr">
        <is>
          <t>q_p (Pa)</t>
        </is>
      </c>
      <c r="C9" s="12">
        <f>Calculations!C45</f>
        <v/>
      </c>
      <c r="D9" s="19">
        <f>Calculations!C46</f>
        <v/>
      </c>
      <c r="E9" s="20">
        <f>ABS(C9-D9)</f>
        <v/>
      </c>
      <c r="F9" s="17">
        <f>IF(D9=0,0,E9/D9*100)</f>
        <v/>
      </c>
      <c r="G9">
        <f>IF(F9&lt;5,"PASS","CHECK")</f>
        <v/>
      </c>
    </row>
    <row r="10">
      <c r="B10" t="inlineStr">
        <is>
          <t>c_s</t>
        </is>
      </c>
      <c r="C10" s="12">
        <f>Calculations!C51</f>
        <v/>
      </c>
      <c r="D10" s="19">
        <f>Calculations!C52</f>
        <v/>
      </c>
      <c r="E10" s="20">
        <f>ABS(C10-D10)</f>
        <v/>
      </c>
      <c r="F10" s="17">
        <f>IF(D10=0,0,E10/D10*100)</f>
        <v/>
      </c>
      <c r="G10">
        <f>IF(F10&lt;5,"PASS","CHECK")</f>
        <v/>
      </c>
    </row>
    <row r="11">
      <c r="B11" t="inlineStr">
        <is>
          <t>c_d</t>
        </is>
      </c>
      <c r="C11" s="12">
        <f>Calculations!C57</f>
        <v/>
      </c>
      <c r="D11" s="19">
        <f>Calculations!C58</f>
        <v/>
      </c>
      <c r="E11" s="20">
        <f>ABS(C11-D11)</f>
        <v/>
      </c>
      <c r="F11" s="17">
        <f>IF(D11=0,0,E11/D11*100)</f>
        <v/>
      </c>
      <c r="G11">
        <f>IF(F11&lt;5,"PASS","CHECK")</f>
        <v/>
      </c>
    </row>
    <row r="12">
      <c r="B12" t="inlineStr">
        <is>
          <t>c_f</t>
        </is>
      </c>
      <c r="C12" s="12">
        <f>Calculations!C63</f>
        <v/>
      </c>
      <c r="D12" s="19">
        <f>Calculations!C64</f>
        <v/>
      </c>
      <c r="E12" s="20">
        <f>ABS(C12-D12)</f>
        <v/>
      </c>
      <c r="F12" s="17">
        <f>IF(D12=0,0,E12/D12*100)</f>
        <v/>
      </c>
      <c r="G12">
        <f>IF(F12&lt;5,"PASS","CHECK")</f>
        <v/>
      </c>
    </row>
    <row r="13">
      <c r="B13" t="inlineStr">
        <is>
          <t>F_w (kN)</t>
        </is>
      </c>
      <c r="C13" s="12">
        <f>Calculations!C74</f>
        <v/>
      </c>
      <c r="D13" s="19">
        <f>Calculations!C75</f>
        <v/>
      </c>
      <c r="E13" s="20">
        <f>ABS(C13-D13)</f>
        <v/>
      </c>
      <c r="F13" s="17">
        <f>IF(D13=0,0,E13/D13*100)</f>
        <v/>
      </c>
      <c r="G13">
        <f>IF(F13&lt;10,"PASS","CHECK")</f>
        <v/>
      </c>
    </row>
    <row r="15" ht="15.75" customHeight="1" s="22">
      <c r="B15" s="21" t="inlineStr">
        <is>
          <t>OVERALL STATUS:</t>
        </is>
      </c>
      <c r="C15" s="26">
        <f>IF(COUNTIF(G5:G13,"CHECK")&gt;0,"REVIEW REQUIRED","ALL CHECKS PASSED")</f>
        <v/>
      </c>
    </row>
  </sheetData>
  <mergeCells count="2">
    <mergeCell ref="B2:G2"/>
    <mergeCell ref="C15:G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5"/>
  <sheetViews>
    <sheetView workbookViewId="0">
      <selection activeCell="A1" sqref="A1"/>
    </sheetView>
  </sheetViews>
  <sheetFormatPr baseColWidth="8" defaultRowHeight="15"/>
  <cols>
    <col width="20" customWidth="1" style="22" min="2" max="2"/>
    <col width="50" customWidth="1" style="22" min="3" max="3"/>
  </cols>
  <sheetData>
    <row r="2" ht="24.95" customHeight="1" s="22">
      <c r="B2" s="23" t="inlineStr">
        <is>
          <t>CHARTERED ENGINEER REVIEW &amp; SIGN-OFF</t>
        </is>
      </c>
    </row>
    <row r="4">
      <c r="B4" s="24" t="inlineStr">
        <is>
          <t>REVIEWER 1 (Internal)</t>
        </is>
      </c>
    </row>
    <row r="5">
      <c r="B5" t="inlineStr">
        <is>
          <t>Name:</t>
        </is>
      </c>
      <c r="C5" s="27" t="inlineStr">
        <is>
          <t>Toby Fletcher, CEng MIMechE</t>
        </is>
      </c>
    </row>
    <row r="6">
      <c r="B6" t="inlineStr">
        <is>
          <t>Date:</t>
        </is>
      </c>
      <c r="C6" s="27" t="n"/>
    </row>
    <row r="8">
      <c r="B8" s="25" t="inlineStr">
        <is>
          <t>Technical Review Checklist</t>
        </is>
      </c>
    </row>
    <row r="9">
      <c r="B9" t="inlineStr">
        <is>
          <t>☐</t>
        </is>
      </c>
      <c r="C9" t="inlineStr">
        <is>
          <t>Calculation methodology follows P394</t>
        </is>
      </c>
    </row>
    <row r="10">
      <c r="B10" t="inlineStr">
        <is>
          <t>☐</t>
        </is>
      </c>
      <c r="C10" t="inlineStr">
        <is>
          <t>All stages correctly implemented</t>
        </is>
      </c>
    </row>
    <row r="11">
      <c r="B11" t="inlineStr">
        <is>
          <t>☐</t>
        </is>
      </c>
      <c r="C11" t="inlineStr">
        <is>
          <t>Formulae match code requirements</t>
        </is>
      </c>
    </row>
    <row r="12">
      <c r="B12" t="inlineStr">
        <is>
          <t>☐</t>
        </is>
      </c>
      <c r="C12" t="inlineStr">
        <is>
          <t>Sheffield validation passes (&lt;10% tolerance)</t>
        </is>
      </c>
    </row>
    <row r="13">
      <c r="B13" t="inlineStr">
        <is>
          <t>☐</t>
        </is>
      </c>
      <c r="C13" t="inlineStr">
        <is>
          <t>Conservative assumptions appropriate</t>
        </is>
      </c>
    </row>
    <row r="14">
      <c r="B14" t="inlineStr">
        <is>
          <t>☐</t>
        </is>
      </c>
      <c r="C14" t="inlineStr">
        <is>
          <t>Limitations clearly stated</t>
        </is>
      </c>
    </row>
    <row r="15">
      <c r="B15" t="inlineStr">
        <is>
          <t>☐</t>
        </is>
      </c>
      <c r="C15" t="inlineStr">
        <is>
          <t>Disclaimers adequate</t>
        </is>
      </c>
    </row>
    <row r="16">
      <c r="B16" t="inlineStr">
        <is>
          <t>☐</t>
        </is>
      </c>
      <c r="C16" t="inlineStr">
        <is>
          <t>Suitable for intended use</t>
        </is>
      </c>
    </row>
    <row r="18">
      <c r="B18" t="inlineStr">
        <is>
          <t>Signature:</t>
        </is>
      </c>
      <c r="C18" s="27" t="n"/>
    </row>
    <row r="21">
      <c r="B21" s="24" t="inlineStr">
        <is>
          <t>REVIEWER 2 (Peer Review)</t>
        </is>
      </c>
    </row>
    <row r="22">
      <c r="B22" t="inlineStr">
        <is>
          <t>Name:</t>
        </is>
      </c>
      <c r="C22" s="27" t="n"/>
    </row>
    <row r="23">
      <c r="B23" t="inlineStr">
        <is>
          <t>Qualification:</t>
        </is>
      </c>
      <c r="C23" s="27" t="n"/>
    </row>
    <row r="24">
      <c r="B24" t="inlineStr">
        <is>
          <t>Date:</t>
        </is>
      </c>
      <c r="C24" s="27" t="n"/>
    </row>
    <row r="25">
      <c r="B25" t="inlineStr">
        <is>
          <t>Signature:</t>
        </is>
      </c>
      <c r="C25" s="27" t="n"/>
    </row>
  </sheetData>
  <mergeCells count="17">
    <mergeCell ref="C22:F22"/>
    <mergeCell ref="B4:F4"/>
    <mergeCell ref="C13:F13"/>
    <mergeCell ref="C9:F9"/>
    <mergeCell ref="C18:F18"/>
    <mergeCell ref="C23:F23"/>
    <mergeCell ref="B21:F21"/>
    <mergeCell ref="B2:F2"/>
    <mergeCell ref="C12:F12"/>
    <mergeCell ref="C16:F16"/>
    <mergeCell ref="C15:F15"/>
    <mergeCell ref="C25:F25"/>
    <mergeCell ref="C11:F11"/>
    <mergeCell ref="C10:F10"/>
    <mergeCell ref="C5:F5"/>
    <mergeCell ref="B8:F8"/>
    <mergeCell ref="C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2025-12-03T18:04:19Z</dcterms:created>
  <dcterms:modified xmlns:dcterms="http://purl.org/dc/terms/" xmlns:xsi="http://www.w3.org/2001/XMLSchema-instance" xsi:type="dcterms:W3CDTF">2025-12-03T18:33:09Z</dcterms:modified>
  <cp:lastModifiedBy>NB NE</cp:lastModifiedBy>
</cp:coreProperties>
</file>